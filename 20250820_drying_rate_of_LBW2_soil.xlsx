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k/codes/cascade/"/>
    </mc:Choice>
  </mc:AlternateContent>
  <xr:revisionPtr revIDLastSave="0" documentId="13_ncr:1_{99406966-47D9-F74D-8DCC-A16AF00F059E}" xr6:coauthVersionLast="47" xr6:coauthVersionMax="47" xr10:uidLastSave="{00000000-0000-0000-0000-000000000000}"/>
  <bookViews>
    <workbookView xWindow="80" yWindow="660" windowWidth="25440" windowHeight="15320" xr2:uid="{5B16C7C3-6B16-1C4C-A879-A01D89B7CAEF}"/>
  </bookViews>
  <sheets>
    <sheet name="20250820_drying_rate_of_LBW2_s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" i="1" l="1"/>
  <c r="B26" i="1"/>
  <c r="C26" i="1"/>
  <c r="D26" i="1"/>
  <c r="E26" i="1"/>
  <c r="F26" i="1"/>
  <c r="A27" i="1"/>
  <c r="D27" i="1" s="1"/>
  <c r="B27" i="1"/>
  <c r="C27" i="1"/>
  <c r="F27" i="1"/>
  <c r="A28" i="1"/>
  <c r="D28" i="1" s="1"/>
  <c r="B28" i="1"/>
  <c r="C28" i="1"/>
  <c r="E28" i="1"/>
  <c r="F28" i="1"/>
  <c r="F5" i="1"/>
  <c r="F4" i="1"/>
  <c r="E27" i="1" s="1"/>
  <c r="C25" i="1"/>
  <c r="B25" i="1"/>
  <c r="C24" i="1"/>
  <c r="B24" i="1"/>
  <c r="C23" i="1"/>
  <c r="B23" i="1"/>
  <c r="C22" i="1"/>
  <c r="B22" i="1"/>
  <c r="C21" i="1"/>
  <c r="B21" i="1"/>
  <c r="C20" i="1"/>
  <c r="B20" i="1"/>
  <c r="C19" i="1"/>
  <c r="B19" i="1"/>
  <c r="A25" i="1"/>
  <c r="D25" i="1" s="1"/>
  <c r="A20" i="1"/>
  <c r="D20" i="1" s="1"/>
  <c r="A21" i="1"/>
  <c r="D21" i="1" s="1"/>
  <c r="A22" i="1"/>
  <c r="D22" i="1" s="1"/>
  <c r="A23" i="1"/>
  <c r="D23" i="1" s="1"/>
  <c r="A24" i="1"/>
  <c r="D24" i="1" s="1"/>
  <c r="A19" i="1"/>
  <c r="D19" i="1" s="1"/>
  <c r="E23" i="1" l="1"/>
  <c r="E24" i="1"/>
  <c r="E20" i="1"/>
  <c r="F23" i="1"/>
  <c r="E19" i="1"/>
  <c r="F22" i="1"/>
  <c r="F19" i="1"/>
  <c r="E22" i="1"/>
  <c r="F25" i="1"/>
  <c r="F21" i="1"/>
  <c r="E25" i="1"/>
  <c r="E21" i="1"/>
  <c r="F24" i="1"/>
  <c r="F20" i="1"/>
</calcChain>
</file>

<file path=xl/sharedStrings.xml><?xml version="1.0" encoding="utf-8"?>
<sst xmlns="http://schemas.openxmlformats.org/spreadsheetml/2006/main" count="15" uniqueCount="14">
  <si>
    <t>Dates</t>
  </si>
  <si>
    <t>Pink dish (g)</t>
  </si>
  <si>
    <t>White dish (g)</t>
  </si>
  <si>
    <t>Petri dish mass (g)</t>
  </si>
  <si>
    <t>Time (day)</t>
  </si>
  <si>
    <t>Pink (g)</t>
  </si>
  <si>
    <t>White (g)</t>
  </si>
  <si>
    <t>Weights of La Bagh Soil (2025-08-11 ~ )</t>
  </si>
  <si>
    <t>Initial water content (mL/g)</t>
  </si>
  <si>
    <t>Water holding capacity (mL/g)</t>
  </si>
  <si>
    <t>Water in Pink (%WHC)</t>
  </si>
  <si>
    <t>Water in White (%WHC)</t>
  </si>
  <si>
    <t>Initial soil and water mass (g)</t>
  </si>
  <si>
    <t>Pink = Soil 1, White = Soil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</si>
</sst>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4A25-A136-9242-9F34-AA5A181C4643}">
  <dimension ref="A1:F28"/>
  <sheetViews>
    <sheetView tabSelected="1" zoomScale="187" workbookViewId="0">
      <selection activeCell="B26" sqref="B26"/>
    </sheetView>
  </sheetViews>
  <sheetFormatPr baseColWidth="10" defaultRowHeight="16" x14ac:dyDescent="0.2"/>
  <cols>
    <col min="1" max="1" width="15.6640625" customWidth="1"/>
    <col min="5" max="5" width="24.6640625" customWidth="1"/>
  </cols>
  <sheetData>
    <row r="1" spans="1:6" x14ac:dyDescent="0.2">
      <c r="A1" t="s">
        <v>7</v>
      </c>
    </row>
    <row r="2" spans="1:6" x14ac:dyDescent="0.2">
      <c r="A2" t="s">
        <v>13</v>
      </c>
    </row>
    <row r="3" spans="1:6" x14ac:dyDescent="0.2">
      <c r="A3" t="s">
        <v>0</v>
      </c>
      <c r="B3" t="s">
        <v>1</v>
      </c>
      <c r="C3" t="s">
        <v>2</v>
      </c>
      <c r="E3" t="s">
        <v>3</v>
      </c>
      <c r="F3">
        <v>6.52</v>
      </c>
    </row>
    <row r="4" spans="1:6" x14ac:dyDescent="0.2">
      <c r="A4" s="1">
        <v>45880.613194444442</v>
      </c>
      <c r="B4">
        <v>81.52</v>
      </c>
      <c r="C4">
        <v>81.61</v>
      </c>
      <c r="E4" t="s">
        <v>9</v>
      </c>
      <c r="F4">
        <f>0.8</f>
        <v>0.8</v>
      </c>
    </row>
    <row r="5" spans="1:6" x14ac:dyDescent="0.2">
      <c r="A5" s="2">
        <v>45881.579861111109</v>
      </c>
      <c r="B5">
        <v>80.13</v>
      </c>
      <c r="C5">
        <v>80.3</v>
      </c>
      <c r="E5" t="s">
        <v>8</v>
      </c>
      <c r="F5">
        <f>0.95/9.05</f>
        <v>0.10497237569060772</v>
      </c>
    </row>
    <row r="6" spans="1:6" x14ac:dyDescent="0.2">
      <c r="A6" s="2">
        <v>45882.578472222223</v>
      </c>
      <c r="B6">
        <v>78.75</v>
      </c>
      <c r="C6">
        <v>79.06</v>
      </c>
      <c r="E6" t="s">
        <v>12</v>
      </c>
      <c r="F6">
        <v>50</v>
      </c>
    </row>
    <row r="7" spans="1:6" x14ac:dyDescent="0.2">
      <c r="A7" s="2">
        <v>45884.495833333334</v>
      </c>
      <c r="B7">
        <v>75.790000000000006</v>
      </c>
      <c r="C7">
        <v>76.489999999999995</v>
      </c>
    </row>
    <row r="8" spans="1:6" x14ac:dyDescent="0.2">
      <c r="A8" s="2">
        <v>45886.45416666667</v>
      </c>
      <c r="B8">
        <v>73.58</v>
      </c>
      <c r="C8">
        <v>74.58</v>
      </c>
    </row>
    <row r="9" spans="1:6" x14ac:dyDescent="0.2">
      <c r="A9" s="2">
        <v>45887.425694444442</v>
      </c>
      <c r="B9">
        <v>72.11</v>
      </c>
      <c r="C9">
        <v>73.36</v>
      </c>
    </row>
    <row r="10" spans="1:6" x14ac:dyDescent="0.2">
      <c r="A10" s="2">
        <v>45889.427777777775</v>
      </c>
      <c r="B10">
        <v>69.52</v>
      </c>
      <c r="C10">
        <v>71.13</v>
      </c>
    </row>
    <row r="11" spans="1:6" x14ac:dyDescent="0.2">
      <c r="A11" s="2">
        <v>45890.417361111111</v>
      </c>
      <c r="B11">
        <v>68</v>
      </c>
      <c r="C11">
        <v>69.77</v>
      </c>
    </row>
    <row r="18" spans="1:6" x14ac:dyDescent="0.2">
      <c r="A18" t="s">
        <v>4</v>
      </c>
      <c r="B18" t="s">
        <v>5</v>
      </c>
      <c r="C18" t="s">
        <v>6</v>
      </c>
      <c r="D18" t="s">
        <v>4</v>
      </c>
      <c r="E18" t="s">
        <v>10</v>
      </c>
      <c r="F18" t="s">
        <v>11</v>
      </c>
    </row>
    <row r="19" spans="1:6" x14ac:dyDescent="0.2">
      <c r="A19">
        <f>A4-A$4</f>
        <v>0</v>
      </c>
      <c r="B19">
        <f>B4-$F$3</f>
        <v>75</v>
      </c>
      <c r="C19">
        <f>C4-$F$3</f>
        <v>75.09</v>
      </c>
      <c r="D19">
        <f>A19</f>
        <v>0</v>
      </c>
      <c r="E19">
        <f>(B4-$F$3-$F$6+$F$5*$F$6)/$F$4/$F$6*100</f>
        <v>75.621546961325961</v>
      </c>
      <c r="F19">
        <f>(C4-$F$3-$F$6+$F$5*$F$6)/$F$4/$F$6*100</f>
        <v>75.84654696132597</v>
      </c>
    </row>
    <row r="20" spans="1:6" x14ac:dyDescent="0.2">
      <c r="A20">
        <f>A5-A$4</f>
        <v>0.96666666666715173</v>
      </c>
      <c r="B20">
        <f>B5-$F$3</f>
        <v>73.61</v>
      </c>
      <c r="C20">
        <f>C5-$F$3</f>
        <v>73.78</v>
      </c>
      <c r="D20">
        <f t="shared" ref="D20:D25" si="0">A20</f>
        <v>0.96666666666715173</v>
      </c>
      <c r="E20">
        <f>(B5-$F$3-$F$6+$F$5*$F$6)/$F$4/$F$6*100</f>
        <v>72.146546961325953</v>
      </c>
      <c r="F20">
        <f>(C5-$F$3-$F$6+$F$5*$F$6)/$F$4/$F$6*100</f>
        <v>72.571546961325964</v>
      </c>
    </row>
    <row r="21" spans="1:6" x14ac:dyDescent="0.2">
      <c r="A21">
        <f>A6-A$4</f>
        <v>1.9652777777810115</v>
      </c>
      <c r="B21">
        <f>B6-$F$3</f>
        <v>72.23</v>
      </c>
      <c r="C21">
        <f>C6-$F$3</f>
        <v>72.540000000000006</v>
      </c>
      <c r="D21">
        <f t="shared" si="0"/>
        <v>1.9652777777810115</v>
      </c>
      <c r="E21">
        <f>(B6-$F$3-$F$6+$F$5*$F$6)/$F$4/$F$6*100</f>
        <v>68.696546961325964</v>
      </c>
      <c r="F21">
        <f>(C6-$F$3-$F$6+$F$5*$F$6)/$F$4/$F$6*100</f>
        <v>69.47154696132597</v>
      </c>
    </row>
    <row r="22" spans="1:6" x14ac:dyDescent="0.2">
      <c r="A22">
        <f>A7-A$4</f>
        <v>3.882638888891961</v>
      </c>
      <c r="B22">
        <f>B7-$F$3</f>
        <v>69.27000000000001</v>
      </c>
      <c r="C22">
        <f>C7-$F$3</f>
        <v>69.97</v>
      </c>
      <c r="D22">
        <f t="shared" si="0"/>
        <v>3.882638888891961</v>
      </c>
      <c r="E22">
        <f>(B7-$F$3-$F$6+$F$5*$F$6)/$F$4/$F$6*100</f>
        <v>61.29654696132598</v>
      </c>
      <c r="F22">
        <f>(C7-$F$3-$F$6+$F$5*$F$6)/$F$4/$F$6*100</f>
        <v>63.046546961325959</v>
      </c>
    </row>
    <row r="23" spans="1:6" x14ac:dyDescent="0.2">
      <c r="A23">
        <f>A8-A$4</f>
        <v>5.8409722222277196</v>
      </c>
      <c r="B23">
        <f>B8-$F$3</f>
        <v>67.06</v>
      </c>
      <c r="C23">
        <f>C8-$F$3</f>
        <v>68.06</v>
      </c>
      <c r="D23">
        <f t="shared" si="0"/>
        <v>5.8409722222277196</v>
      </c>
      <c r="E23">
        <f>(B8-$F$3-$F$6+$F$5*$F$6)/$F$4/$F$6*100</f>
        <v>55.771546961325967</v>
      </c>
      <c r="F23">
        <f>(C8-$F$3-$F$6+$F$5*$F$6)/$F$4/$F$6*100</f>
        <v>58.271546961325967</v>
      </c>
    </row>
    <row r="24" spans="1:6" x14ac:dyDescent="0.2">
      <c r="A24">
        <f>A9-A$4</f>
        <v>6.8125</v>
      </c>
      <c r="B24">
        <f>B9-$F$3</f>
        <v>65.59</v>
      </c>
      <c r="C24">
        <f>C9-$F$3</f>
        <v>66.84</v>
      </c>
      <c r="D24">
        <f t="shared" si="0"/>
        <v>6.8125</v>
      </c>
      <c r="E24">
        <f>(B9-$F$3-$F$6+$F$5*$F$6)/$F$4/$F$6*100</f>
        <v>52.09654696132597</v>
      </c>
      <c r="F24">
        <f>(C9-$F$3-$F$6+$F$5*$F$6)/$F$4/$F$6*100</f>
        <v>55.22154696132597</v>
      </c>
    </row>
    <row r="25" spans="1:6" x14ac:dyDescent="0.2">
      <c r="A25">
        <f>A10-A$4</f>
        <v>8.8145833333328483</v>
      </c>
      <c r="B25">
        <f>B10-$F$3</f>
        <v>63</v>
      </c>
      <c r="C25">
        <f>C10-$F$3</f>
        <v>64.61</v>
      </c>
      <c r="D25">
        <f t="shared" si="0"/>
        <v>8.8145833333328483</v>
      </c>
      <c r="E25">
        <f>(B10-$F$3-$F$6+$F$5*$F$6)/$F$4/$F$6*100</f>
        <v>45.621546961325961</v>
      </c>
      <c r="F25">
        <f>(C10-$F$3-$F$6+$F$5*$F$6)/$F$4/$F$6*100</f>
        <v>49.64654696132596</v>
      </c>
    </row>
    <row r="26" spans="1:6" x14ac:dyDescent="0.2">
      <c r="A26">
        <f>A11-A$4</f>
        <v>9.8041666666686069</v>
      </c>
      <c r="B26">
        <f>B11-$F$3</f>
        <v>61.480000000000004</v>
      </c>
      <c r="C26">
        <f>C11-$F$3</f>
        <v>63.25</v>
      </c>
      <c r="D26">
        <f t="shared" ref="D26:D28" si="1">A26</f>
        <v>9.8041666666686069</v>
      </c>
      <c r="E26">
        <f>(B11-$F$3-$F$6+$F$5*$F$6)/$F$4/$F$6*100</f>
        <v>41.821546961325971</v>
      </c>
      <c r="F26">
        <f>(C11-$F$3-$F$6+$F$5*$F$6)/$F$4/$F$6*100</f>
        <v>46.246546961325961</v>
      </c>
    </row>
    <row r="27" spans="1:6" x14ac:dyDescent="0.2">
      <c r="A27">
        <f>A12-A$4</f>
        <v>-45880.613194444442</v>
      </c>
      <c r="B27">
        <f>B12-$F$3</f>
        <v>-6.52</v>
      </c>
      <c r="C27">
        <f>C12-$F$3</f>
        <v>-6.52</v>
      </c>
      <c r="D27">
        <f t="shared" si="1"/>
        <v>-45880.613194444442</v>
      </c>
      <c r="E27">
        <f>(B12-$F$3-$F$6+$F$5*$F$6)/$F$4/$F$6*100</f>
        <v>-128.17845303867401</v>
      </c>
      <c r="F27">
        <f>(C12-$F$3-$F$6+$F$5*$F$6)/$F$4/$F$6*100</f>
        <v>-128.17845303867401</v>
      </c>
    </row>
    <row r="28" spans="1:6" x14ac:dyDescent="0.2">
      <c r="A28" t="e">
        <f>A18-A$4</f>
        <v>#VALUE!</v>
      </c>
      <c r="B28" t="e">
        <f t="shared" ref="B28:C28" si="2">B18-$F$3</f>
        <v>#VALUE!</v>
      </c>
      <c r="C28" t="e">
        <f t="shared" si="2"/>
        <v>#VALUE!</v>
      </c>
      <c r="D28" t="e">
        <f t="shared" si="1"/>
        <v>#VALUE!</v>
      </c>
      <c r="E28" t="e">
        <f>(B18-$F$3-$F$6+$F$5*$F$6)/$F$4/$F$6*100</f>
        <v>#VALUE!</v>
      </c>
      <c r="F28" t="e">
        <f>(C18-$F$3-$F$6+$F$5*$F$6)/$F$4/$F$6*100</f>
        <v>#VALUE!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20250820_drying_rate_of_LBW2_so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Ikchang Cho</dc:creator>
  <cp:lastModifiedBy>Ikchang Cho</cp:lastModifiedBy>
  <dcterms:created xsi:type="dcterms:W3CDTF">2025-08-20T19:49:21Z</dcterms:created>
  <dcterms:modified xsi:type="dcterms:W3CDTF">2025-08-21T15:23:59Z</dcterms:modified>
</cp:coreProperties>
</file>