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k/codes/cascade/"/>
    </mc:Choice>
  </mc:AlternateContent>
  <xr:revisionPtr revIDLastSave="0" documentId="13_ncr:9_{B36449D2-8CD0-1E46-9CC0-4DAE100ED704}" xr6:coauthVersionLast="47" xr6:coauthVersionMax="47" xr10:uidLastSave="{00000000-0000-0000-0000-000000000000}"/>
  <bookViews>
    <workbookView xWindow="80" yWindow="660" windowWidth="25440" windowHeight="15320" xr2:uid="{5B16C7C3-6B16-1C4C-A879-A01D89B7CAEF}"/>
  </bookViews>
  <sheets>
    <sheet name="20250820_drying_rate_of_LBW2_so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D16" i="1"/>
  <c r="D17" i="1"/>
  <c r="D18" i="1"/>
  <c r="D19" i="1"/>
  <c r="D20" i="1"/>
  <c r="D14" i="1"/>
  <c r="E15" i="1"/>
  <c r="F15" i="1"/>
  <c r="E16" i="1"/>
  <c r="F16" i="1"/>
  <c r="E17" i="1"/>
  <c r="F17" i="1"/>
  <c r="E18" i="1"/>
  <c r="F18" i="1"/>
  <c r="E19" i="1"/>
  <c r="F19" i="1"/>
  <c r="E20" i="1"/>
  <c r="F20" i="1"/>
  <c r="F14" i="1"/>
  <c r="F5" i="1"/>
  <c r="E14" i="1" s="1"/>
  <c r="F4" i="1"/>
  <c r="C20" i="1"/>
  <c r="B20" i="1"/>
  <c r="C19" i="1"/>
  <c r="B19" i="1"/>
  <c r="C18" i="1"/>
  <c r="B18" i="1"/>
  <c r="C17" i="1"/>
  <c r="B17" i="1"/>
  <c r="C16" i="1"/>
  <c r="B16" i="1"/>
  <c r="C15" i="1"/>
  <c r="B15" i="1"/>
  <c r="C14" i="1"/>
  <c r="B14" i="1"/>
  <c r="A20" i="1"/>
  <c r="A15" i="1"/>
  <c r="A16" i="1"/>
  <c r="A17" i="1"/>
  <c r="A18" i="1"/>
  <c r="A19" i="1"/>
  <c r="A14" i="1"/>
</calcChain>
</file>

<file path=xl/sharedStrings.xml><?xml version="1.0" encoding="utf-8"?>
<sst xmlns="http://schemas.openxmlformats.org/spreadsheetml/2006/main" count="15" uniqueCount="14">
  <si>
    <t>Dates</t>
  </si>
  <si>
    <t>Pink dish (g)</t>
  </si>
  <si>
    <t>White dish (g)</t>
  </si>
  <si>
    <t>Petri dish mass (g)</t>
  </si>
  <si>
    <t>Time (day)</t>
  </si>
  <si>
    <t>Pink (g)</t>
  </si>
  <si>
    <t>White (g)</t>
  </si>
  <si>
    <t>Weights of La Bagh Soil (2025-08-11 ~ )</t>
  </si>
  <si>
    <t>Initial water content (mL/g)</t>
  </si>
  <si>
    <t>Water holding capacity (mL/g)</t>
  </si>
  <si>
    <t>Water in Pink (%WHC)</t>
  </si>
  <si>
    <t>Water in White (%WHC)</t>
  </si>
  <si>
    <t>Initial soil and water mass (g)</t>
  </si>
  <si>
    <t>Pink = Soil 1, White = Soil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</si>
</sst>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A4A25-A136-9242-9F34-AA5A181C4643}">
  <dimension ref="A1:F20"/>
  <sheetViews>
    <sheetView tabSelected="1" zoomScale="187" workbookViewId="0">
      <selection activeCell="D8" sqref="D8"/>
    </sheetView>
  </sheetViews>
  <sheetFormatPr baseColWidth="10" defaultRowHeight="16" x14ac:dyDescent="0.2"/>
  <cols>
    <col min="1" max="1" width="15.6640625" customWidth="1"/>
    <col min="5" max="5" width="24.6640625" customWidth="1"/>
  </cols>
  <sheetData>
    <row r="1" spans="1:6" x14ac:dyDescent="0.2">
      <c r="A1" t="s">
        <v>7</v>
      </c>
    </row>
    <row r="2" spans="1:6" x14ac:dyDescent="0.2">
      <c r="A2" t="s">
        <v>13</v>
      </c>
    </row>
    <row r="3" spans="1:6" x14ac:dyDescent="0.2">
      <c r="A3" t="s">
        <v>0</v>
      </c>
      <c r="B3" t="s">
        <v>1</v>
      </c>
      <c r="C3" t="s">
        <v>2</v>
      </c>
      <c r="E3" t="s">
        <v>3</v>
      </c>
      <c r="F3">
        <v>6.52</v>
      </c>
    </row>
    <row r="4" spans="1:6" x14ac:dyDescent="0.2">
      <c r="A4" s="1">
        <v>45880.613194444442</v>
      </c>
      <c r="B4">
        <v>81.52</v>
      </c>
      <c r="C4">
        <v>81.61</v>
      </c>
      <c r="E4" t="s">
        <v>9</v>
      </c>
      <c r="F4">
        <f>0.8</f>
        <v>0.8</v>
      </c>
    </row>
    <row r="5" spans="1:6" x14ac:dyDescent="0.2">
      <c r="A5" s="2">
        <v>45881.579861111109</v>
      </c>
      <c r="B5">
        <v>80.13</v>
      </c>
      <c r="C5">
        <v>80.3</v>
      </c>
      <c r="E5" t="s">
        <v>8</v>
      </c>
      <c r="F5">
        <f>0.95/9.05</f>
        <v>0.10497237569060772</v>
      </c>
    </row>
    <row r="6" spans="1:6" x14ac:dyDescent="0.2">
      <c r="A6" s="2">
        <v>45882.578472222223</v>
      </c>
      <c r="B6">
        <v>78.75</v>
      </c>
      <c r="C6">
        <v>79.06</v>
      </c>
      <c r="E6" t="s">
        <v>12</v>
      </c>
      <c r="F6">
        <v>50</v>
      </c>
    </row>
    <row r="7" spans="1:6" x14ac:dyDescent="0.2">
      <c r="A7" s="2">
        <v>45884.495833333334</v>
      </c>
      <c r="B7">
        <v>75.790000000000006</v>
      </c>
      <c r="C7">
        <v>76.489999999999995</v>
      </c>
    </row>
    <row r="8" spans="1:6" x14ac:dyDescent="0.2">
      <c r="A8" s="2">
        <v>45886.45416666667</v>
      </c>
      <c r="B8">
        <v>73.58</v>
      </c>
      <c r="C8">
        <v>74.58</v>
      </c>
    </row>
    <row r="9" spans="1:6" x14ac:dyDescent="0.2">
      <c r="A9" s="2">
        <v>45887.425694444442</v>
      </c>
      <c r="B9">
        <v>72.11</v>
      </c>
      <c r="C9">
        <v>73.36</v>
      </c>
    </row>
    <row r="10" spans="1:6" x14ac:dyDescent="0.2">
      <c r="A10" s="2">
        <v>45889.427777777775</v>
      </c>
      <c r="B10">
        <v>69.52</v>
      </c>
      <c r="C10">
        <v>71.13</v>
      </c>
    </row>
    <row r="13" spans="1:6" x14ac:dyDescent="0.2">
      <c r="A13" t="s">
        <v>4</v>
      </c>
      <c r="B13" t="s">
        <v>5</v>
      </c>
      <c r="C13" t="s">
        <v>6</v>
      </c>
      <c r="D13" t="s">
        <v>4</v>
      </c>
      <c r="E13" t="s">
        <v>10</v>
      </c>
      <c r="F13" t="s">
        <v>11</v>
      </c>
    </row>
    <row r="14" spans="1:6" x14ac:dyDescent="0.2">
      <c r="A14">
        <f>A4-A$4</f>
        <v>0</v>
      </c>
      <c r="B14">
        <f>B4-$F$3</f>
        <v>75</v>
      </c>
      <c r="C14">
        <f>C4-$F$3</f>
        <v>75.09</v>
      </c>
      <c r="D14">
        <f>A14</f>
        <v>0</v>
      </c>
      <c r="E14">
        <f>(B4-$F$3-$F$6+$F$5*$F$6)/$F$4/$F$6*100</f>
        <v>75.621546961325961</v>
      </c>
      <c r="F14">
        <f>(C4-$F$3-$F$6+$F$5*$F$6)/$F$4/$F$6*100</f>
        <v>75.84654696132597</v>
      </c>
    </row>
    <row r="15" spans="1:6" x14ac:dyDescent="0.2">
      <c r="A15">
        <f>A5-A$4</f>
        <v>0.96666666666715173</v>
      </c>
      <c r="B15">
        <f>B5-$F$3</f>
        <v>73.61</v>
      </c>
      <c r="C15">
        <f>C5-$F$3</f>
        <v>73.78</v>
      </c>
      <c r="D15">
        <f t="shared" ref="D15:D20" si="0">A15</f>
        <v>0.96666666666715173</v>
      </c>
      <c r="E15">
        <f t="shared" ref="E15:F15" si="1">(B5-$F$3-$F$6+$F$5*$F$6)/$F$4/$F$6*100</f>
        <v>72.146546961325953</v>
      </c>
      <c r="F15">
        <f t="shared" si="1"/>
        <v>72.571546961325964</v>
      </c>
    </row>
    <row r="16" spans="1:6" x14ac:dyDescent="0.2">
      <c r="A16">
        <f>A6-A$4</f>
        <v>1.9652777777810115</v>
      </c>
      <c r="B16">
        <f>B6-$F$3</f>
        <v>72.23</v>
      </c>
      <c r="C16">
        <f>C6-$F$3</f>
        <v>72.540000000000006</v>
      </c>
      <c r="D16">
        <f t="shared" si="0"/>
        <v>1.9652777777810115</v>
      </c>
      <c r="E16">
        <f t="shared" ref="E16:F16" si="2">(B6-$F$3-$F$6+$F$5*$F$6)/$F$4/$F$6*100</f>
        <v>68.696546961325964</v>
      </c>
      <c r="F16">
        <f t="shared" si="2"/>
        <v>69.47154696132597</v>
      </c>
    </row>
    <row r="17" spans="1:6" x14ac:dyDescent="0.2">
      <c r="A17">
        <f>A7-A$4</f>
        <v>3.882638888891961</v>
      </c>
      <c r="B17">
        <f>B7-$F$3</f>
        <v>69.27000000000001</v>
      </c>
      <c r="C17">
        <f>C7-$F$3</f>
        <v>69.97</v>
      </c>
      <c r="D17">
        <f t="shared" si="0"/>
        <v>3.882638888891961</v>
      </c>
      <c r="E17">
        <f t="shared" ref="E17:F17" si="3">(B7-$F$3-$F$6+$F$5*$F$6)/$F$4/$F$6*100</f>
        <v>61.29654696132598</v>
      </c>
      <c r="F17">
        <f t="shared" si="3"/>
        <v>63.046546961325959</v>
      </c>
    </row>
    <row r="18" spans="1:6" x14ac:dyDescent="0.2">
      <c r="A18">
        <f>A8-A$4</f>
        <v>5.8409722222277196</v>
      </c>
      <c r="B18">
        <f>B8-$F$3</f>
        <v>67.06</v>
      </c>
      <c r="C18">
        <f>C8-$F$3</f>
        <v>68.06</v>
      </c>
      <c r="D18">
        <f t="shared" si="0"/>
        <v>5.8409722222277196</v>
      </c>
      <c r="E18">
        <f t="shared" ref="E18:F18" si="4">(B8-$F$3-$F$6+$F$5*$F$6)/$F$4/$F$6*100</f>
        <v>55.771546961325967</v>
      </c>
      <c r="F18">
        <f t="shared" si="4"/>
        <v>58.271546961325967</v>
      </c>
    </row>
    <row r="19" spans="1:6" x14ac:dyDescent="0.2">
      <c r="A19">
        <f>A9-A$4</f>
        <v>6.8125</v>
      </c>
      <c r="B19">
        <f>B9-$F$3</f>
        <v>65.59</v>
      </c>
      <c r="C19">
        <f>C9-$F$3</f>
        <v>66.84</v>
      </c>
      <c r="D19">
        <f t="shared" si="0"/>
        <v>6.8125</v>
      </c>
      <c r="E19">
        <f t="shared" ref="E19:F19" si="5">(B9-$F$3-$F$6+$F$5*$F$6)/$F$4/$F$6*100</f>
        <v>52.09654696132597</v>
      </c>
      <c r="F19">
        <f t="shared" si="5"/>
        <v>55.22154696132597</v>
      </c>
    </row>
    <row r="20" spans="1:6" x14ac:dyDescent="0.2">
      <c r="A20">
        <f>A10-A$4</f>
        <v>8.8145833333328483</v>
      </c>
      <c r="B20">
        <f>B10-$F$3</f>
        <v>63</v>
      </c>
      <c r="C20">
        <f>C10-$F$3</f>
        <v>64.61</v>
      </c>
      <c r="D20">
        <f t="shared" si="0"/>
        <v>8.8145833333328483</v>
      </c>
      <c r="E20">
        <f t="shared" ref="E20:F20" si="6">(B10-$F$3-$F$6+$F$5*$F$6)/$F$4/$F$6*100</f>
        <v>45.621546961325961</v>
      </c>
      <c r="F20">
        <f t="shared" si="6"/>
        <v>49.64654696132596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20250820_drying_rate_of_LBW2_so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Ikchang Cho</dc:creator>
  <cp:lastModifiedBy>Ikchang Cho</cp:lastModifiedBy>
  <dcterms:created xsi:type="dcterms:W3CDTF">2025-08-20T19:49:21Z</dcterms:created>
  <dcterms:modified xsi:type="dcterms:W3CDTF">2025-08-20T20:20:30Z</dcterms:modified>
</cp:coreProperties>
</file>