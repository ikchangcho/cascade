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/codes/cascade/"/>
    </mc:Choice>
  </mc:AlternateContent>
  <xr:revisionPtr revIDLastSave="0" documentId="13_ncr:1_{56034A2C-DAB9-5B45-833D-5F4D6CBA8A06}" xr6:coauthVersionLast="47" xr6:coauthVersionMax="47" xr10:uidLastSave="{00000000-0000-0000-0000-000000000000}"/>
  <bookViews>
    <workbookView xWindow="80" yWindow="660" windowWidth="25440" windowHeight="15320" xr2:uid="{5B16C7C3-6B16-1C4C-A879-A01D89B7CAEF}"/>
  </bookViews>
  <sheets>
    <sheet name="20250820_drying_rate_of_LBW2_s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B31" i="1"/>
  <c r="C31" i="1"/>
  <c r="D31" i="1"/>
  <c r="E31" i="1"/>
  <c r="F31" i="1"/>
  <c r="A32" i="1"/>
  <c r="D32" i="1" s="1"/>
  <c r="B32" i="1"/>
  <c r="C32" i="1"/>
  <c r="E32" i="1"/>
  <c r="F32" i="1"/>
  <c r="A28" i="1"/>
  <c r="D28" i="1" s="1"/>
  <c r="B28" i="1"/>
  <c r="C28" i="1"/>
  <c r="E28" i="1"/>
  <c r="F28" i="1"/>
  <c r="A29" i="1"/>
  <c r="D29" i="1" s="1"/>
  <c r="B29" i="1"/>
  <c r="C29" i="1"/>
  <c r="E29" i="1"/>
  <c r="F29" i="1"/>
  <c r="A30" i="1"/>
  <c r="D30" i="1" s="1"/>
  <c r="B30" i="1"/>
  <c r="C30" i="1"/>
  <c r="E30" i="1"/>
  <c r="F30" i="1"/>
  <c r="A26" i="1"/>
  <c r="B26" i="1"/>
  <c r="C26" i="1"/>
  <c r="D26" i="1"/>
  <c r="E26" i="1"/>
  <c r="F26" i="1"/>
  <c r="A27" i="1"/>
  <c r="D27" i="1" s="1"/>
  <c r="B27" i="1"/>
  <c r="C27" i="1"/>
  <c r="F27" i="1"/>
  <c r="E27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A25" i="1"/>
  <c r="D25" i="1" s="1"/>
  <c r="A20" i="1"/>
  <c r="D20" i="1" s="1"/>
  <c r="A21" i="1"/>
  <c r="D21" i="1" s="1"/>
  <c r="A22" i="1"/>
  <c r="D22" i="1" s="1"/>
  <c r="A23" i="1"/>
  <c r="D23" i="1" s="1"/>
  <c r="A24" i="1"/>
  <c r="D24" i="1" s="1"/>
  <c r="A19" i="1"/>
  <c r="D19" i="1" s="1"/>
  <c r="E23" i="1" l="1"/>
  <c r="E24" i="1"/>
  <c r="E20" i="1"/>
  <c r="F23" i="1"/>
  <c r="E19" i="1"/>
  <c r="F22" i="1"/>
  <c r="F19" i="1"/>
  <c r="E22" i="1"/>
  <c r="F25" i="1"/>
  <c r="F21" i="1"/>
  <c r="E25" i="1"/>
  <c r="E21" i="1"/>
  <c r="F24" i="1"/>
  <c r="F20" i="1"/>
</calcChain>
</file>

<file path=xl/sharedStrings.xml><?xml version="1.0" encoding="utf-8"?>
<sst xmlns="http://schemas.openxmlformats.org/spreadsheetml/2006/main" count="15" uniqueCount="14">
  <si>
    <t>Dates</t>
  </si>
  <si>
    <t>Pink dish (g)</t>
  </si>
  <si>
    <t>White dish (g)</t>
  </si>
  <si>
    <t>Petri dish mass (g)</t>
  </si>
  <si>
    <t>Time (day)</t>
  </si>
  <si>
    <t>Pink (g)</t>
  </si>
  <si>
    <t>White (g)</t>
  </si>
  <si>
    <t>Weights of La Bagh Soil (2025-08-11 ~ )</t>
  </si>
  <si>
    <t>Initial water content (mL/g)</t>
  </si>
  <si>
    <t>Water holding capacity (mL/g)</t>
  </si>
  <si>
    <t>Water in Pink (%WHC)</t>
  </si>
  <si>
    <t>Water in White (%WHC)</t>
  </si>
  <si>
    <t>Initial soil and water mass (g)</t>
  </si>
  <si>
    <t>Pink = Dish 1, White = Dish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</si>
</sst>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4A25-A136-9242-9F34-AA5A181C4643}">
  <dimension ref="A1:F32"/>
  <sheetViews>
    <sheetView tabSelected="1" topLeftCell="A18" zoomScale="187" workbookViewId="0">
      <selection activeCell="A27" sqref="A27:A29"/>
    </sheetView>
  </sheetViews>
  <sheetFormatPr baseColWidth="10" defaultRowHeight="16" x14ac:dyDescent="0.2"/>
  <cols>
    <col min="1" max="1" width="15.6640625" customWidth="1"/>
    <col min="5" max="5" width="24.6640625" customWidth="1"/>
  </cols>
  <sheetData>
    <row r="1" spans="1:6" x14ac:dyDescent="0.2">
      <c r="A1" t="s">
        <v>7</v>
      </c>
    </row>
    <row r="2" spans="1:6" x14ac:dyDescent="0.2">
      <c r="A2" t="s">
        <v>13</v>
      </c>
    </row>
    <row r="3" spans="1:6" x14ac:dyDescent="0.2">
      <c r="A3" t="s">
        <v>0</v>
      </c>
      <c r="B3" t="s">
        <v>1</v>
      </c>
      <c r="C3" t="s">
        <v>2</v>
      </c>
      <c r="E3" t="s">
        <v>3</v>
      </c>
      <c r="F3">
        <v>6.52</v>
      </c>
    </row>
    <row r="4" spans="1:6" x14ac:dyDescent="0.2">
      <c r="A4" s="1">
        <v>45880.613194444442</v>
      </c>
      <c r="B4">
        <v>81.52</v>
      </c>
      <c r="C4">
        <v>81.61</v>
      </c>
      <c r="E4" t="s">
        <v>9</v>
      </c>
      <c r="F4">
        <v>0.67500000000000004</v>
      </c>
    </row>
    <row r="5" spans="1:6" x14ac:dyDescent="0.2">
      <c r="A5" s="2">
        <v>45881.579861111109</v>
      </c>
      <c r="B5">
        <v>80.13</v>
      </c>
      <c r="C5">
        <v>80.3</v>
      </c>
      <c r="E5" t="s">
        <v>8</v>
      </c>
      <c r="F5">
        <v>0.1</v>
      </c>
    </row>
    <row r="6" spans="1:6" x14ac:dyDescent="0.2">
      <c r="A6" s="2">
        <v>45882.578472222223</v>
      </c>
      <c r="B6">
        <v>78.75</v>
      </c>
      <c r="C6">
        <v>79.06</v>
      </c>
      <c r="E6" t="s">
        <v>12</v>
      </c>
      <c r="F6">
        <v>50</v>
      </c>
    </row>
    <row r="7" spans="1:6" x14ac:dyDescent="0.2">
      <c r="A7" s="2">
        <v>45884.495833333334</v>
      </c>
      <c r="B7">
        <v>75.790000000000006</v>
      </c>
      <c r="C7">
        <v>76.489999999999995</v>
      </c>
    </row>
    <row r="8" spans="1:6" x14ac:dyDescent="0.2">
      <c r="A8" s="2">
        <v>45886.45416666667</v>
      </c>
      <c r="B8">
        <v>73.58</v>
      </c>
      <c r="C8">
        <v>74.58</v>
      </c>
    </row>
    <row r="9" spans="1:6" x14ac:dyDescent="0.2">
      <c r="A9" s="2">
        <v>45887.425694444442</v>
      </c>
      <c r="B9">
        <v>72.11</v>
      </c>
      <c r="C9">
        <v>73.36</v>
      </c>
    </row>
    <row r="10" spans="1:6" x14ac:dyDescent="0.2">
      <c r="A10" s="2">
        <v>45889.427777777775</v>
      </c>
      <c r="B10">
        <v>69.52</v>
      </c>
      <c r="C10">
        <v>71.13</v>
      </c>
    </row>
    <row r="11" spans="1:6" x14ac:dyDescent="0.2">
      <c r="A11" s="2">
        <v>45890.417361111111</v>
      </c>
      <c r="B11">
        <v>68</v>
      </c>
      <c r="C11">
        <v>69.77</v>
      </c>
    </row>
    <row r="12" spans="1:6" x14ac:dyDescent="0.2">
      <c r="A12" s="2">
        <v>45892.674305555556</v>
      </c>
      <c r="B12">
        <v>65.150000000000006</v>
      </c>
      <c r="C12">
        <v>67.33</v>
      </c>
    </row>
    <row r="13" spans="1:6" x14ac:dyDescent="0.2">
      <c r="A13" s="3">
        <v>45894.550694444442</v>
      </c>
      <c r="B13">
        <v>62.31</v>
      </c>
      <c r="C13">
        <v>64.680000000000007</v>
      </c>
    </row>
    <row r="14" spans="1:6" x14ac:dyDescent="0.2">
      <c r="A14" s="2">
        <v>45895.460416666669</v>
      </c>
      <c r="B14">
        <v>60.9</v>
      </c>
      <c r="C14">
        <v>63.4</v>
      </c>
    </row>
    <row r="18" spans="1:6" x14ac:dyDescent="0.2">
      <c r="A18" t="s">
        <v>4</v>
      </c>
      <c r="B18" t="s">
        <v>5</v>
      </c>
      <c r="C18" t="s">
        <v>6</v>
      </c>
      <c r="D18" t="s">
        <v>4</v>
      </c>
      <c r="E18" t="s">
        <v>10</v>
      </c>
      <c r="F18" t="s">
        <v>11</v>
      </c>
    </row>
    <row r="19" spans="1:6" x14ac:dyDescent="0.2">
      <c r="A19">
        <f t="shared" ref="A19:A32" si="0">A4-A$4</f>
        <v>0</v>
      </c>
      <c r="B19">
        <f t="shared" ref="B19:C27" si="1">B4-$F$3</f>
        <v>75</v>
      </c>
      <c r="C19">
        <f t="shared" si="1"/>
        <v>75.09</v>
      </c>
      <c r="D19">
        <f>A19</f>
        <v>0</v>
      </c>
      <c r="E19">
        <f t="shared" ref="E19:E27" si="2">(B4-$F$3-$F$6+$F$5*$F$6)/$F$4/$F$6*100</f>
        <v>88.888888888888886</v>
      </c>
      <c r="F19">
        <f t="shared" ref="F19:F27" si="3">(C4-$F$3-$F$6+$F$5*$F$6)/$F$4/$F$6*100</f>
        <v>89.155555555555566</v>
      </c>
    </row>
    <row r="20" spans="1:6" x14ac:dyDescent="0.2">
      <c r="A20">
        <f t="shared" si="0"/>
        <v>0.96666666666715173</v>
      </c>
      <c r="B20">
        <f t="shared" si="1"/>
        <v>73.61</v>
      </c>
      <c r="C20">
        <f t="shared" si="1"/>
        <v>73.78</v>
      </c>
      <c r="D20">
        <f t="shared" ref="D20:D25" si="4">A20</f>
        <v>0.96666666666715173</v>
      </c>
      <c r="E20">
        <f t="shared" si="2"/>
        <v>84.770370370370358</v>
      </c>
      <c r="F20">
        <f t="shared" si="3"/>
        <v>85.274074074074065</v>
      </c>
    </row>
    <row r="21" spans="1:6" x14ac:dyDescent="0.2">
      <c r="A21">
        <f t="shared" si="0"/>
        <v>1.9652777777810115</v>
      </c>
      <c r="B21">
        <f t="shared" si="1"/>
        <v>72.23</v>
      </c>
      <c r="C21">
        <f t="shared" si="1"/>
        <v>72.540000000000006</v>
      </c>
      <c r="D21">
        <f t="shared" si="4"/>
        <v>1.9652777777810115</v>
      </c>
      <c r="E21">
        <f t="shared" si="2"/>
        <v>80.681481481481484</v>
      </c>
      <c r="F21">
        <f t="shared" si="3"/>
        <v>81.600000000000009</v>
      </c>
    </row>
    <row r="22" spans="1:6" x14ac:dyDescent="0.2">
      <c r="A22">
        <f t="shared" si="0"/>
        <v>3.882638888891961</v>
      </c>
      <c r="B22">
        <f t="shared" si="1"/>
        <v>69.27000000000001</v>
      </c>
      <c r="C22">
        <f t="shared" si="1"/>
        <v>69.97</v>
      </c>
      <c r="D22">
        <f t="shared" si="4"/>
        <v>3.882638888891961</v>
      </c>
      <c r="E22">
        <f t="shared" si="2"/>
        <v>71.91111111111114</v>
      </c>
      <c r="F22">
        <f t="shared" si="3"/>
        <v>73.985185185185173</v>
      </c>
    </row>
    <row r="23" spans="1:6" x14ac:dyDescent="0.2">
      <c r="A23">
        <f t="shared" si="0"/>
        <v>5.8409722222277196</v>
      </c>
      <c r="B23">
        <f t="shared" si="1"/>
        <v>67.06</v>
      </c>
      <c r="C23">
        <f t="shared" si="1"/>
        <v>68.06</v>
      </c>
      <c r="D23">
        <f t="shared" si="4"/>
        <v>5.8409722222277196</v>
      </c>
      <c r="E23">
        <f t="shared" si="2"/>
        <v>65.362962962962968</v>
      </c>
      <c r="F23">
        <f t="shared" si="3"/>
        <v>68.32592592592593</v>
      </c>
    </row>
    <row r="24" spans="1:6" x14ac:dyDescent="0.2">
      <c r="A24">
        <f t="shared" si="0"/>
        <v>6.8125</v>
      </c>
      <c r="B24">
        <f t="shared" si="1"/>
        <v>65.59</v>
      </c>
      <c r="C24">
        <f t="shared" si="1"/>
        <v>66.84</v>
      </c>
      <c r="D24">
        <f t="shared" si="4"/>
        <v>6.8125</v>
      </c>
      <c r="E24">
        <f t="shared" si="2"/>
        <v>61.007407407407413</v>
      </c>
      <c r="F24">
        <f t="shared" si="3"/>
        <v>64.711111111111123</v>
      </c>
    </row>
    <row r="25" spans="1:6" x14ac:dyDescent="0.2">
      <c r="A25">
        <f t="shared" si="0"/>
        <v>8.8145833333328483</v>
      </c>
      <c r="B25">
        <f t="shared" si="1"/>
        <v>63</v>
      </c>
      <c r="C25">
        <f t="shared" si="1"/>
        <v>64.61</v>
      </c>
      <c r="D25">
        <f t="shared" si="4"/>
        <v>8.8145833333328483</v>
      </c>
      <c r="E25">
        <f t="shared" si="2"/>
        <v>53.333333333333336</v>
      </c>
      <c r="F25">
        <f t="shared" si="3"/>
        <v>58.103703703703701</v>
      </c>
    </row>
    <row r="26" spans="1:6" x14ac:dyDescent="0.2">
      <c r="A26">
        <f t="shared" si="0"/>
        <v>9.8041666666686069</v>
      </c>
      <c r="B26">
        <f t="shared" si="1"/>
        <v>61.480000000000004</v>
      </c>
      <c r="C26">
        <f t="shared" si="1"/>
        <v>63.25</v>
      </c>
      <c r="D26">
        <f t="shared" ref="D26:D27" si="5">A26</f>
        <v>9.8041666666686069</v>
      </c>
      <c r="E26">
        <f t="shared" si="2"/>
        <v>48.829629629629636</v>
      </c>
      <c r="F26">
        <f t="shared" si="3"/>
        <v>54.074074074074076</v>
      </c>
    </row>
    <row r="27" spans="1:6" x14ac:dyDescent="0.2">
      <c r="A27">
        <f t="shared" si="0"/>
        <v>12.06111111111386</v>
      </c>
      <c r="B27">
        <f t="shared" si="1"/>
        <v>58.63000000000001</v>
      </c>
      <c r="C27">
        <f t="shared" si="1"/>
        <v>60.81</v>
      </c>
      <c r="D27">
        <f t="shared" si="5"/>
        <v>12.06111111111386</v>
      </c>
      <c r="E27">
        <f t="shared" si="2"/>
        <v>40.385185185185215</v>
      </c>
      <c r="F27">
        <f t="shared" si="3"/>
        <v>46.844444444444449</v>
      </c>
    </row>
    <row r="28" spans="1:6" x14ac:dyDescent="0.2">
      <c r="A28">
        <f t="shared" si="0"/>
        <v>13.9375</v>
      </c>
      <c r="B28">
        <f t="shared" ref="B28:C28" si="6">B13-$F$3</f>
        <v>55.790000000000006</v>
      </c>
      <c r="C28">
        <f t="shared" si="6"/>
        <v>58.160000000000011</v>
      </c>
      <c r="D28">
        <f t="shared" ref="D28:D31" si="7">A28</f>
        <v>13.9375</v>
      </c>
      <c r="E28">
        <f t="shared" ref="E28:E31" si="8">(B13-$F$3-$F$6+$F$5*$F$6)/$F$4/$F$6*100</f>
        <v>31.970370370370389</v>
      </c>
      <c r="F28">
        <f t="shared" ref="F28:F31" si="9">(C13-$F$3-$F$6+$F$5*$F$6)/$F$4/$F$6*100</f>
        <v>38.992592592592622</v>
      </c>
    </row>
    <row r="29" spans="1:6" x14ac:dyDescent="0.2">
      <c r="A29">
        <f t="shared" si="0"/>
        <v>14.847222222226264</v>
      </c>
      <c r="B29">
        <f t="shared" ref="B29:C29" si="10">B14-$F$3</f>
        <v>54.379999999999995</v>
      </c>
      <c r="C29">
        <f t="shared" si="10"/>
        <v>56.879999999999995</v>
      </c>
      <c r="D29">
        <f t="shared" si="7"/>
        <v>14.847222222226264</v>
      </c>
      <c r="E29">
        <f t="shared" si="8"/>
        <v>27.792592592592573</v>
      </c>
      <c r="F29">
        <f t="shared" si="9"/>
        <v>35.199999999999982</v>
      </c>
    </row>
    <row r="30" spans="1:6" x14ac:dyDescent="0.2">
      <c r="A30">
        <f t="shared" si="0"/>
        <v>-45880.613194444442</v>
      </c>
      <c r="B30">
        <f t="shared" ref="B30:C30" si="11">B15-$F$3</f>
        <v>-6.52</v>
      </c>
      <c r="C30">
        <f t="shared" si="11"/>
        <v>-6.52</v>
      </c>
      <c r="D30">
        <f t="shared" si="7"/>
        <v>-45880.613194444442</v>
      </c>
      <c r="E30">
        <f t="shared" si="8"/>
        <v>-152.65185185185183</v>
      </c>
      <c r="F30">
        <f t="shared" si="9"/>
        <v>-152.65185185185183</v>
      </c>
    </row>
    <row r="31" spans="1:6" x14ac:dyDescent="0.2">
      <c r="A31">
        <f t="shared" si="0"/>
        <v>-45880.613194444442</v>
      </c>
      <c r="B31">
        <f t="shared" ref="B31:C31" si="12">B16-$F$3</f>
        <v>-6.52</v>
      </c>
      <c r="C31">
        <f t="shared" si="12"/>
        <v>-6.52</v>
      </c>
      <c r="D31">
        <f t="shared" si="7"/>
        <v>-45880.613194444442</v>
      </c>
      <c r="E31">
        <f t="shared" si="8"/>
        <v>-152.65185185185183</v>
      </c>
      <c r="F31">
        <f t="shared" si="9"/>
        <v>-152.65185185185183</v>
      </c>
    </row>
    <row r="32" spans="1:6" x14ac:dyDescent="0.2">
      <c r="A32">
        <f t="shared" si="0"/>
        <v>-45880.613194444442</v>
      </c>
      <c r="B32">
        <f t="shared" ref="B32:C32" si="13">B17-$F$3</f>
        <v>-6.52</v>
      </c>
      <c r="C32">
        <f t="shared" si="13"/>
        <v>-6.52</v>
      </c>
      <c r="D32">
        <f t="shared" ref="D32" si="14">A32</f>
        <v>-45880.613194444442</v>
      </c>
      <c r="E32">
        <f t="shared" ref="E32" si="15">(B17-$F$3-$F$6+$F$5*$F$6)/$F$4/$F$6*100</f>
        <v>-152.65185185185183</v>
      </c>
      <c r="F32">
        <f t="shared" ref="F32" si="16">(C17-$F$3-$F$6+$F$5*$F$6)/$F$4/$F$6*100</f>
        <v>-152.65185185185183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20250820_drying_rate_of_LBW2_so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Ikchang Cho</dc:creator>
  <cp:lastModifiedBy>Ikchang Cho</cp:lastModifiedBy>
  <dcterms:created xsi:type="dcterms:W3CDTF">2025-08-20T19:49:21Z</dcterms:created>
  <dcterms:modified xsi:type="dcterms:W3CDTF">2025-08-26T20:11:18Z</dcterms:modified>
</cp:coreProperties>
</file>