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851A71DF-DD46-694F-8F30-B642F3751439}" xr6:coauthVersionLast="47" xr6:coauthVersionMax="47" xr10:uidLastSave="{00000000-0000-0000-0000-000000000000}"/>
  <bookViews>
    <workbookView xWindow="0" yWindow="660" windowWidth="25600" windowHeight="15980" activeTab="2" xr2:uid="{5B16C7C3-6B16-1C4C-A879-A01D89B7CAEF}"/>
  </bookViews>
  <sheets>
    <sheet name="4.1.1" sheetId="1" r:id="rId1"/>
    <sheet name="4.1.2" sheetId="2" r:id="rId2"/>
    <sheet name="4.1.3" sheetId="4" r:id="rId3"/>
    <sheet name="Temperat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4" l="1"/>
  <c r="L18" i="4"/>
  <c r="K18" i="4"/>
  <c r="J18" i="4"/>
  <c r="I18" i="4"/>
  <c r="H18" i="4"/>
  <c r="M17" i="4"/>
  <c r="L17" i="4"/>
  <c r="K17" i="4"/>
  <c r="J17" i="4"/>
  <c r="I17" i="4"/>
  <c r="H17" i="4"/>
  <c r="M16" i="4"/>
  <c r="L16" i="4"/>
  <c r="K16" i="4"/>
  <c r="J16" i="4"/>
  <c r="I16" i="4"/>
  <c r="H16" i="4"/>
  <c r="M15" i="4"/>
  <c r="L15" i="4"/>
  <c r="K15" i="4"/>
  <c r="J15" i="4"/>
  <c r="I15" i="4"/>
  <c r="H15" i="4"/>
  <c r="I12" i="4"/>
  <c r="J12" i="4"/>
  <c r="K12" i="4"/>
  <c r="L12" i="4"/>
  <c r="M12" i="4"/>
  <c r="I13" i="4"/>
  <c r="J13" i="4"/>
  <c r="K13" i="4"/>
  <c r="L13" i="4"/>
  <c r="M13" i="4"/>
  <c r="I14" i="4"/>
  <c r="J14" i="4"/>
  <c r="K14" i="4"/>
  <c r="L14" i="4"/>
  <c r="M14" i="4"/>
  <c r="J11" i="4"/>
  <c r="K11" i="4"/>
  <c r="L11" i="4"/>
  <c r="M11" i="4"/>
  <c r="I11" i="4"/>
  <c r="H12" i="4"/>
  <c r="H13" i="4"/>
  <c r="H14" i="4"/>
  <c r="H11" i="4"/>
  <c r="A51" i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<sst xmlns="http://schemas.openxmlformats.org/spreadsheetml/2006/main" count="33173" uniqueCount="65">
  <si>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</si>
  <si>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</si>
  <si>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</si>
  <si>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</si>
  <si>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</si>
  <si>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</si>
  <si>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</si>
  <si>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</si>
  <si>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</si>
  <si>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</si>
  <si>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</si>
  <si>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</si>
  <si>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</si>
  <si>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</si>
  <si>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</si>
  <si>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</si>
  <si>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</si>
  <si>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</si>
  <si>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</si>
  <si>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</si>
  <si>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</si>
  <si>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</si>
  <si>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</si>
  <si>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</si>
  <si>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</si>
  <si>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</si>
  <si>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</si>
  <si>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</si>
  <si>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</si>
  <si>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</si>
  <si>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</si>
  <si>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</si>
  <si>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</si>
  <si>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</si>
  <si>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</si>
  <si>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</si>
  <si>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</si>
  <si>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</si>
  <si>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</si>
  <si>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</si>
  <si>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</si>
  <si>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</si>
  <si>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</si>
  <si>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</si>
  <si>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</si>
  <si>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</si>
  <si>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</si>
  <si>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</si>
  <si>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</si>
  <si>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</si>
  <si>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</si>
  <si>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</si>
  <si>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</si>
  <si>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</si>
  <si>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</si>
  <si>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</si>
  <si>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</si>
  <si>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</si>
  <si>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</si>
  <si>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</si>
  <si>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</si>
  <si>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</si>
  <si>
    <t>Weight of dish (g)</t>
  </si>
  <si>
    <t>Water content (% WHC)</t>
  </si>
  <si>
    <t>Drying period (day)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</si>
</sst>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37" zoomScale="125" workbookViewId="0">
      <selection activeCell="E54" sqref="E5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1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opLeftCell="F1" workbookViewId="0">
      <selection activeCell="M10" sqref="M10:R18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18" si="13">A16-$A$11</f>
        <v>9.9736111111124046</v>
      </c>
      <c r="N16">
        <f t="shared" ref="N16:N18" si="14">(B16-B$6-50)/$C$3/50*100</f>
        <v>109.21481481481482</v>
      </c>
      <c r="O16">
        <f t="shared" ref="O16:O18" si="15">(C16-C$6-50)/$C$3/50*100</f>
        <v>109.12592592592591</v>
      </c>
      <c r="P16">
        <f t="shared" ref="P16:P18" si="16">(D16-D$6-50)/$C$3/50*100</f>
        <v>108.08888888888887</v>
      </c>
      <c r="Q16">
        <f t="shared" ref="Q16:Q18" si="17">(E16-E$6-50)/$C$3/50*100</f>
        <v>109.83703703703699</v>
      </c>
      <c r="R16">
        <f t="shared" ref="R16:R18" si="18">(F16-F$6-50)/$C$3/50*100</f>
        <v>104.77037037037036</v>
      </c>
      <c r="S16">
        <f t="shared" ref="S16:S18" si="19">(G16-G$6-50)/$C$3/50*100</f>
        <v>107.22962962962961</v>
      </c>
      <c r="T16">
        <f t="shared" ref="T16:T18" si="20">(H16-H$6-50)/$C$3/50*100</f>
        <v>97.362962962962953</v>
      </c>
      <c r="U16">
        <f t="shared" ref="U16:U18" si="21">(I16-I$6-50)/$C$3/50*100</f>
        <v>102.4296296296296</v>
      </c>
      <c r="V16">
        <f t="shared" ref="V16:V18" si="22">(J16-J$6-50)/$C$3/50*100</f>
        <v>69.096296296296273</v>
      </c>
      <c r="W16">
        <f t="shared" ref="W16:W18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2BD1-BA70-C449-AEF1-79642A31B0E2}">
  <dimension ref="A3:M18"/>
  <sheetViews>
    <sheetView tabSelected="1" topLeftCell="A2" zoomScale="156" workbookViewId="0">
      <selection activeCell="H17" sqref="H17:H18"/>
    </sheetView>
  </sheetViews>
  <sheetFormatPr baseColWidth="10" defaultRowHeight="16" x14ac:dyDescent="0.2"/>
  <cols>
    <col min="1" max="1" width="21.1640625" customWidth="1"/>
    <col min="8" max="8" width="10.5" customWidth="1"/>
  </cols>
  <sheetData>
    <row r="3" spans="1:1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1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</row>
    <row r="6" spans="1:1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</row>
    <row r="9" spans="1:13" x14ac:dyDescent="0.2">
      <c r="B9" s="7" t="s">
        <v>62</v>
      </c>
      <c r="C9" s="7"/>
      <c r="D9" s="7"/>
      <c r="E9" s="7"/>
      <c r="F9" s="7"/>
      <c r="I9" s="7" t="s">
        <v>63</v>
      </c>
      <c r="J9" s="7"/>
      <c r="K9" s="7"/>
      <c r="L9" s="7"/>
      <c r="M9" s="7"/>
    </row>
    <row r="10" spans="1:1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H10" t="s">
        <v>64</v>
      </c>
      <c r="I10" t="s">
        <v>15</v>
      </c>
      <c r="J10" t="s">
        <v>16</v>
      </c>
      <c r="K10" t="s">
        <v>17</v>
      </c>
      <c r="L10" t="s">
        <v>18</v>
      </c>
      <c r="M10" t="s">
        <v>19</v>
      </c>
    </row>
    <row r="11" spans="1:13" x14ac:dyDescent="0.2">
      <c r="A11" s="2">
        <v>45924.53402777778</v>
      </c>
      <c r="B11">
        <v>90.17</v>
      </c>
      <c r="C11">
        <v>90.2</v>
      </c>
      <c r="D11">
        <v>90.21</v>
      </c>
      <c r="E11">
        <v>90.24</v>
      </c>
      <c r="F11">
        <v>90.27</v>
      </c>
      <c r="H11">
        <f>A11-$A$11</f>
        <v>0</v>
      </c>
      <c r="I11">
        <f>(B11-$B$6-50)/50/$C$3*100</f>
        <v>99.614814814814821</v>
      </c>
      <c r="J11">
        <f t="shared" ref="J11:M11" si="0">(C11-$B$6-50)/50/$C$3*100</f>
        <v>99.703703703703724</v>
      </c>
      <c r="K11">
        <f t="shared" si="0"/>
        <v>99.73333333333332</v>
      </c>
      <c r="L11">
        <f t="shared" si="0"/>
        <v>99.822222222222209</v>
      </c>
      <c r="M11">
        <f t="shared" si="0"/>
        <v>99.911111111111111</v>
      </c>
    </row>
    <row r="12" spans="1:13" x14ac:dyDescent="0.2">
      <c r="A12" s="2">
        <v>45926.504166666666</v>
      </c>
      <c r="B12">
        <v>86.59</v>
      </c>
      <c r="C12">
        <v>86.77</v>
      </c>
      <c r="D12">
        <v>86.7</v>
      </c>
      <c r="E12">
        <v>86.77</v>
      </c>
      <c r="F12">
        <v>86.56</v>
      </c>
      <c r="H12">
        <f t="shared" ref="H12:H18" si="1">A12-$A$11</f>
        <v>1.9701388888861402</v>
      </c>
      <c r="I12">
        <f t="shared" ref="I12:I18" si="2">(B12-$B$6-50)/50/$C$3*100</f>
        <v>89.007407407407413</v>
      </c>
      <c r="J12">
        <f t="shared" ref="J12:J18" si="3">(C12-$B$6-50)/50/$C$3*100</f>
        <v>89.540740740740716</v>
      </c>
      <c r="K12">
        <f t="shared" ref="K12:K18" si="4">(D12-$B$6-50)/50/$C$3*100</f>
        <v>89.333333333333343</v>
      </c>
      <c r="L12">
        <f t="shared" ref="L12:L18" si="5">(E12-$B$6-50)/50/$C$3*100</f>
        <v>89.540740740740716</v>
      </c>
      <c r="M12">
        <f t="shared" ref="M12:M18" si="6">(F12-$B$6-50)/50/$C$3*100</f>
        <v>88.918518518518525</v>
      </c>
    </row>
    <row r="13" spans="1:13" x14ac:dyDescent="0.2">
      <c r="A13" s="2">
        <v>45928.554166666669</v>
      </c>
      <c r="B13">
        <v>82.96</v>
      </c>
      <c r="C13">
        <v>83.25</v>
      </c>
      <c r="D13">
        <v>83.06</v>
      </c>
      <c r="E13">
        <v>83</v>
      </c>
      <c r="F13">
        <v>82.57</v>
      </c>
      <c r="H13">
        <f t="shared" si="1"/>
        <v>4.0201388888890506</v>
      </c>
      <c r="I13">
        <f t="shared" si="2"/>
        <v>78.251851851851825</v>
      </c>
      <c r="J13">
        <f t="shared" si="3"/>
        <v>79.111111111111114</v>
      </c>
      <c r="K13">
        <f t="shared" si="4"/>
        <v>78.548148148148158</v>
      </c>
      <c r="L13">
        <f t="shared" si="5"/>
        <v>78.370370370370367</v>
      </c>
      <c r="M13">
        <f t="shared" si="6"/>
        <v>77.096296296296288</v>
      </c>
    </row>
    <row r="14" spans="1:13" x14ac:dyDescent="0.2">
      <c r="A14" s="2">
        <v>45931.450694444444</v>
      </c>
      <c r="B14">
        <v>78.25</v>
      </c>
      <c r="C14">
        <v>78.38</v>
      </c>
      <c r="D14">
        <v>78</v>
      </c>
      <c r="E14">
        <v>78</v>
      </c>
      <c r="F14">
        <v>77.099999999999994</v>
      </c>
      <c r="H14">
        <f t="shared" si="1"/>
        <v>6.9166666666642413</v>
      </c>
      <c r="I14">
        <f t="shared" si="2"/>
        <v>64.296296296296291</v>
      </c>
      <c r="J14">
        <f t="shared" si="3"/>
        <v>64.68148148148147</v>
      </c>
      <c r="K14">
        <f t="shared" si="4"/>
        <v>63.555555555555557</v>
      </c>
      <c r="L14">
        <f t="shared" si="5"/>
        <v>63.555555555555557</v>
      </c>
      <c r="M14">
        <f t="shared" si="6"/>
        <v>60.888888888888872</v>
      </c>
    </row>
    <row r="15" spans="1:13" x14ac:dyDescent="0.2">
      <c r="A15" s="2">
        <v>45934.727083333331</v>
      </c>
      <c r="B15">
        <v>72.92</v>
      </c>
      <c r="C15">
        <v>73.13</v>
      </c>
      <c r="D15">
        <v>72.540000000000006</v>
      </c>
      <c r="E15">
        <v>72.87</v>
      </c>
      <c r="F15">
        <v>71.23</v>
      </c>
      <c r="H15">
        <f t="shared" si="1"/>
        <v>10.193055555551837</v>
      </c>
      <c r="I15">
        <f t="shared" si="2"/>
        <v>48.503703703703707</v>
      </c>
      <c r="J15">
        <f t="shared" si="3"/>
        <v>49.12592592592592</v>
      </c>
      <c r="K15">
        <f t="shared" si="4"/>
        <v>47.377777777777801</v>
      </c>
      <c r="L15">
        <f t="shared" si="5"/>
        <v>48.355555555555576</v>
      </c>
      <c r="M15">
        <f t="shared" si="6"/>
        <v>43.496296296296315</v>
      </c>
    </row>
    <row r="16" spans="1:13" x14ac:dyDescent="0.2">
      <c r="A16" s="2">
        <v>45937.676388888889</v>
      </c>
      <c r="B16">
        <v>68.34</v>
      </c>
      <c r="C16">
        <v>68.52</v>
      </c>
      <c r="D16">
        <v>68</v>
      </c>
      <c r="E16">
        <v>68.510000000000005</v>
      </c>
      <c r="F16">
        <v>66.16</v>
      </c>
      <c r="H16">
        <f t="shared" si="1"/>
        <v>13.142361111109494</v>
      </c>
      <c r="I16">
        <f t="shared" si="2"/>
        <v>34.933333333333351</v>
      </c>
      <c r="J16">
        <f t="shared" si="3"/>
        <v>35.466666666666661</v>
      </c>
      <c r="K16">
        <f t="shared" si="4"/>
        <v>33.925925925925931</v>
      </c>
      <c r="L16">
        <f t="shared" si="5"/>
        <v>35.437037037037058</v>
      </c>
      <c r="M16">
        <f t="shared" si="6"/>
        <v>28.474074074074068</v>
      </c>
    </row>
    <row r="17" spans="1:13" x14ac:dyDescent="0.2">
      <c r="A17" s="2">
        <v>45940.607638888891</v>
      </c>
      <c r="B17">
        <v>64.150000000000006</v>
      </c>
      <c r="C17">
        <v>64.33</v>
      </c>
      <c r="D17">
        <v>63.73</v>
      </c>
      <c r="E17">
        <v>64.5</v>
      </c>
      <c r="F17">
        <v>61.13</v>
      </c>
      <c r="H17">
        <f t="shared" si="1"/>
        <v>16.073611111110949</v>
      </c>
      <c r="I17">
        <f t="shared" si="2"/>
        <v>22.51851851851854</v>
      </c>
      <c r="J17">
        <f t="shared" si="3"/>
        <v>23.051851851851854</v>
      </c>
      <c r="K17">
        <f t="shared" si="4"/>
        <v>21.274074074074072</v>
      </c>
      <c r="L17">
        <f t="shared" si="5"/>
        <v>23.555555555555564</v>
      </c>
      <c r="M17">
        <f t="shared" si="6"/>
        <v>13.570370370370386</v>
      </c>
    </row>
    <row r="18" spans="1:13" x14ac:dyDescent="0.2">
      <c r="A18" s="2">
        <v>45943.576388888891</v>
      </c>
      <c r="B18">
        <v>60.1</v>
      </c>
      <c r="C18">
        <v>60.45</v>
      </c>
      <c r="D18">
        <v>59.76</v>
      </c>
      <c r="E18">
        <v>60.73</v>
      </c>
      <c r="F18">
        <v>57.33</v>
      </c>
      <c r="H18">
        <f t="shared" si="1"/>
        <v>19.042361111110949</v>
      </c>
      <c r="I18">
        <f t="shared" si="2"/>
        <v>10.518518518518531</v>
      </c>
      <c r="J18">
        <f t="shared" si="3"/>
        <v>11.555555555555571</v>
      </c>
      <c r="K18">
        <f t="shared" si="4"/>
        <v>9.5111111111111128</v>
      </c>
      <c r="L18">
        <f t="shared" si="5"/>
        <v>12.385185185185184</v>
      </c>
      <c r="M18">
        <f t="shared" si="6"/>
        <v>2.3111111111111144</v>
      </c>
    </row>
  </sheetData>
  <mergeCells count="2">
    <mergeCell ref="B9:F9"/>
    <mergeCell ref="I9:M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4.1.1</vt:lpstr>
      <vt:lpstr>4.1.2</vt:lpstr>
      <vt:lpstr>4.1.3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2025-10-13T19:00:34Z</dcterms:modified>
</cp:coreProperties>
</file>