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1_{713C91D4-D8D9-014A-90E3-FCCE93F13311}" xr6:coauthVersionLast="47" xr6:coauthVersionMax="47" xr10:uidLastSave="{00000000-0000-0000-0000-000000000000}"/>
  <bookViews>
    <workbookView xWindow="-4000" yWindow="-21100" windowWidth="38400" windowHeight="21100" activeTab="1" xr2:uid="{5B16C7C3-6B16-1C4C-A879-A01D89B7CAEF}"/>
  </bookViews>
  <sheets>
    <sheet name="4.1.1" sheetId="1" r:id="rId1"/>
    <sheet name="4.1.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2" l="1"/>
  <c r="N16" i="2"/>
  <c r="O16" i="2"/>
  <c r="P16" i="2"/>
  <c r="Q16" i="2"/>
  <c r="R16" i="2"/>
  <c r="S16" i="2"/>
  <c r="T16" i="2"/>
  <c r="U16" i="2"/>
  <c r="V16" i="2"/>
  <c r="W16" i="2"/>
  <c r="M17" i="2"/>
  <c r="N17" i="2"/>
  <c r="O17" i="2"/>
  <c r="P17" i="2"/>
  <c r="Q17" i="2"/>
  <c r="R17" i="2"/>
  <c r="S17" i="2"/>
  <c r="T17" i="2"/>
  <c r="U17" i="2"/>
  <c r="V17" i="2"/>
  <c r="W17" i="2"/>
  <c r="M18" i="2"/>
  <c r="N18" i="2"/>
  <c r="O18" i="2"/>
  <c r="P18" i="2"/>
  <c r="Q18" i="2"/>
  <c r="R18" i="2"/>
  <c r="S18" i="2"/>
  <c r="T18" i="2"/>
  <c r="U18" i="2"/>
  <c r="V18" i="2"/>
  <c r="W18" i="2"/>
  <c r="M19" i="2"/>
  <c r="N19" i="2"/>
  <c r="O19" i="2"/>
  <c r="P19" i="2"/>
  <c r="Q19" i="2"/>
  <c r="R19" i="2"/>
  <c r="S19" i="2"/>
  <c r="T19" i="2"/>
  <c r="U19" i="2"/>
  <c r="V19" i="2"/>
  <c r="W19" i="2"/>
  <c r="M20" i="2"/>
  <c r="N20" i="2"/>
  <c r="O20" i="2"/>
  <c r="P20" i="2"/>
  <c r="Q20" i="2"/>
  <c r="R20" i="2"/>
  <c r="S20" i="2"/>
  <c r="T20" i="2"/>
  <c r="U20" i="2"/>
  <c r="V20" i="2"/>
  <c r="W20" i="2"/>
  <c r="M21" i="2"/>
  <c r="N21" i="2"/>
  <c r="O21" i="2"/>
  <c r="P21" i="2"/>
  <c r="Q21" i="2"/>
  <c r="R21" i="2"/>
  <c r="S21" i="2"/>
  <c r="T21" i="2"/>
  <c r="U21" i="2"/>
  <c r="V21" i="2"/>
  <c r="W21" i="2"/>
  <c r="M22" i="2"/>
  <c r="N22" i="2"/>
  <c r="O22" i="2"/>
  <c r="P22" i="2"/>
  <c r="Q22" i="2"/>
  <c r="R22" i="2"/>
  <c r="S22" i="2"/>
  <c r="T22" i="2"/>
  <c r="U22" i="2"/>
  <c r="V22" i="2"/>
  <c r="W22" i="2"/>
  <c r="M23" i="2"/>
  <c r="N23" i="2"/>
  <c r="O23" i="2"/>
  <c r="P23" i="2"/>
  <c r="Q23" i="2"/>
  <c r="R23" i="2"/>
  <c r="S23" i="2"/>
  <c r="T23" i="2"/>
  <c r="U23" i="2"/>
  <c r="V23" i="2"/>
  <c r="W23" i="2"/>
  <c r="M24" i="2"/>
  <c r="N24" i="2"/>
  <c r="O24" i="2"/>
  <c r="P24" i="2"/>
  <c r="Q24" i="2"/>
  <c r="R24" i="2"/>
  <c r="S24" i="2"/>
  <c r="T24" i="2"/>
  <c r="U24" i="2"/>
  <c r="V24" i="2"/>
  <c r="W24" i="2"/>
  <c r="N12" i="2"/>
  <c r="O12" i="2"/>
  <c r="P12" i="2"/>
  <c r="Q12" i="2"/>
  <c r="R12" i="2"/>
  <c r="S12" i="2"/>
  <c r="T12" i="2"/>
  <c r="U12" i="2"/>
  <c r="V12" i="2"/>
  <c r="W12" i="2"/>
  <c r="N13" i="2"/>
  <c r="O13" i="2"/>
  <c r="P13" i="2"/>
  <c r="Q13" i="2"/>
  <c r="R13" i="2"/>
  <c r="S13" i="2"/>
  <c r="T13" i="2"/>
  <c r="U13" i="2"/>
  <c r="V13" i="2"/>
  <c r="W13" i="2"/>
  <c r="N14" i="2"/>
  <c r="O14" i="2"/>
  <c r="P14" i="2"/>
  <c r="Q14" i="2"/>
  <c r="R14" i="2"/>
  <c r="S14" i="2"/>
  <c r="T14" i="2"/>
  <c r="U14" i="2"/>
  <c r="V14" i="2"/>
  <c r="W14" i="2"/>
  <c r="N15" i="2"/>
  <c r="O15" i="2"/>
  <c r="P15" i="2"/>
  <c r="Q15" i="2"/>
  <c r="R15" i="2"/>
  <c r="S15" i="2"/>
  <c r="T15" i="2"/>
  <c r="U15" i="2"/>
  <c r="V15" i="2"/>
  <c r="W15" i="2"/>
  <c r="O11" i="2"/>
  <c r="P11" i="2"/>
  <c r="Q11" i="2"/>
  <c r="R11" i="2"/>
  <c r="S11" i="2"/>
  <c r="T11" i="2"/>
  <c r="U11" i="2"/>
  <c r="V11" i="2"/>
  <c r="W11" i="2"/>
  <c r="N11" i="2"/>
  <c r="M12" i="2"/>
  <c r="M13" i="2"/>
  <c r="M14" i="2"/>
  <c r="M15" i="2"/>
  <c r="M11" i="2"/>
  <c r="C11" i="2"/>
  <c r="D11" i="2"/>
  <c r="E11" i="2"/>
  <c r="F11" i="2"/>
  <c r="G11" i="2"/>
  <c r="H11" i="2"/>
  <c r="I11" i="2"/>
  <c r="J11" i="2"/>
  <c r="K11" i="2"/>
  <c r="B11" i="2"/>
  <c r="A48" i="1"/>
  <c r="B48" i="1"/>
  <c r="C48" i="1"/>
  <c r="D48" i="1"/>
  <c r="E48" i="1"/>
  <c r="F48" i="1"/>
  <c r="A49" i="1"/>
  <c r="D49" i="1" s="1"/>
  <c r="B49" i="1"/>
  <c r="C49" i="1"/>
  <c r="E49" i="1"/>
  <c r="F49" i="1"/>
  <c r="A50" i="1"/>
  <c r="B50" i="1"/>
  <c r="C50" i="1"/>
  <c r="D50" i="1"/>
  <c r="E50" i="1"/>
  <c r="F50" i="1"/>
  <c r="A46" i="1"/>
  <c r="D46" i="1" s="1"/>
  <c r="B46" i="1"/>
  <c r="C46" i="1"/>
  <c r="E46" i="1"/>
  <c r="F46" i="1"/>
  <c r="A47" i="1"/>
  <c r="D47" i="1" s="1"/>
  <c r="B47" i="1"/>
  <c r="C47" i="1"/>
  <c r="E47" i="1"/>
  <c r="F47" i="1"/>
  <c r="A43" i="1"/>
  <c r="D43" i="1" s="1"/>
  <c r="B43" i="1"/>
  <c r="C43" i="1"/>
  <c r="E43" i="1"/>
  <c r="F43" i="1"/>
  <c r="A44" i="1"/>
  <c r="D44" i="1" s="1"/>
  <c r="B44" i="1"/>
  <c r="C44" i="1"/>
  <c r="E44" i="1"/>
  <c r="F44" i="1"/>
  <c r="A45" i="1"/>
  <c r="D45" i="1" s="1"/>
  <c r="B45" i="1"/>
  <c r="C45" i="1"/>
  <c r="E45" i="1"/>
  <c r="F45" i="1"/>
  <c r="A41" i="1"/>
  <c r="B41" i="1"/>
  <c r="C41" i="1"/>
  <c r="D41" i="1"/>
  <c r="E41" i="1"/>
  <c r="F41" i="1"/>
  <c r="A42" i="1"/>
  <c r="D42" i="1" s="1"/>
  <c r="B42" i="1"/>
  <c r="C42" i="1"/>
  <c r="F42" i="1"/>
  <c r="E42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A40" i="1"/>
  <c r="D40" i="1" s="1"/>
  <c r="A35" i="1"/>
  <c r="D35" i="1" s="1"/>
  <c r="A36" i="1"/>
  <c r="D36" i="1" s="1"/>
  <c r="A37" i="1"/>
  <c r="D37" i="1" s="1"/>
  <c r="A38" i="1"/>
  <c r="D38" i="1" s="1"/>
  <c r="A39" i="1"/>
  <c r="D39" i="1" s="1"/>
  <c r="A34" i="1"/>
  <c r="D34" i="1" s="1"/>
  <c r="E38" i="1" l="1"/>
  <c r="E39" i="1"/>
  <c r="E35" i="1"/>
  <c r="F38" i="1"/>
  <c r="E34" i="1"/>
  <c r="F37" i="1"/>
  <c r="F34" i="1"/>
  <c r="E37" i="1"/>
  <c r="F40" i="1"/>
  <c r="F36" i="1"/>
  <c r="E40" i="1"/>
  <c r="E36" i="1"/>
  <c r="F39" i="1"/>
  <c r="F35" i="1"/>
</calcChain>
</file>

<file path=xl/sharedStrings.xml><?xml version="1.0" encoding="utf-8"?>
<sst xmlns="http://schemas.openxmlformats.org/spreadsheetml/2006/main" count="54" uniqueCount="33">
  <si>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</si>
  <si>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</si>
  <si>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</si>
  <si>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</si>
  <si>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</si>
  <si>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</si>
  <si>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</si>
  <si>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</si>
  <si>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</si>
  <si>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</si>
  <si>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</si>
  <si>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</si>
  <si>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</si>
  <si>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Dish 1, White = Dish 2</t>
  </si>
  <si>
    <t>Time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</si>
  <si>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</si>
  <si>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</si>
  <si>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</si>
  <si>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</si>
  <si>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</si>
  <si>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</si>
  <si>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</si>
  <si>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</si>
  <si>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</si>
  <si>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</si>
  <si>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 xml:space="preserve">Make 10 dishes of 120% WHC La Bagh Wood soil with 50 g of the dry soil, put in a cabinet in the incubator. Dish 1 and 2 on the 5th floor, 3 and 4 on the 4th floor, …, 9 and 10 on the 1st floor. Dish 1, 3, 5, 7, 9 are placed on right-front, 2, 4, 6, 8, 10 are on left-back. </t>
  </si>
  <si>
    <t>Soil Properties</t>
  </si>
  <si>
    <t>WHC (mL/g)</t>
  </si>
  <si>
    <t>w (mL/g)</t>
  </si>
  <si>
    <t>Weight of Empty Dish (g)</t>
  </si>
  <si>
    <t>Weight of Dish (g)</t>
  </si>
  <si>
    <t>Time since beginning (day)</t>
  </si>
  <si>
    <t>Water Content (%WHC)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</si>
</sst>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50"/>
  <sheetViews>
    <sheetView topLeftCell="A12" zoomScale="125" workbookViewId="0">
      <selection activeCell="A44" sqref="A44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v>0.67500000000000004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v>0.1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1" spans="1:6" x14ac:dyDescent="0.2">
      <c r="A11" s="2">
        <v>45890.417361111111</v>
      </c>
      <c r="B11">
        <v>68</v>
      </c>
      <c r="C11">
        <v>69.77</v>
      </c>
    </row>
    <row r="12" spans="1:6" x14ac:dyDescent="0.2">
      <c r="A12" s="2">
        <v>45892.674305555556</v>
      </c>
      <c r="B12">
        <v>65.150000000000006</v>
      </c>
      <c r="C12">
        <v>67.33</v>
      </c>
    </row>
    <row r="13" spans="1:6" x14ac:dyDescent="0.2">
      <c r="A13" s="3">
        <v>45894.550694444442</v>
      </c>
      <c r="B13">
        <v>62.31</v>
      </c>
      <c r="C13">
        <v>64.680000000000007</v>
      </c>
    </row>
    <row r="14" spans="1:6" x14ac:dyDescent="0.2">
      <c r="A14" s="2">
        <v>45895.460416666669</v>
      </c>
      <c r="B14">
        <v>60.9</v>
      </c>
      <c r="C14">
        <v>63.4</v>
      </c>
    </row>
    <row r="15" spans="1:6" x14ac:dyDescent="0.2">
      <c r="A15" s="2">
        <v>45897.586111111108</v>
      </c>
      <c r="B15">
        <v>60.16</v>
      </c>
      <c r="C15">
        <v>62.62</v>
      </c>
    </row>
    <row r="16" spans="1:6" x14ac:dyDescent="0.2">
      <c r="A16" s="2">
        <v>45899.370833333334</v>
      </c>
      <c r="B16">
        <v>59.79</v>
      </c>
      <c r="C16">
        <v>62.18</v>
      </c>
    </row>
    <row r="17" spans="1:3" x14ac:dyDescent="0.2">
      <c r="A17" s="2">
        <v>45901.780555555553</v>
      </c>
      <c r="B17">
        <v>59.31</v>
      </c>
      <c r="C17">
        <v>61.67</v>
      </c>
    </row>
    <row r="18" spans="1:3" x14ac:dyDescent="0.2">
      <c r="A18" s="1">
        <v>45903.573611111111</v>
      </c>
      <c r="B18">
        <v>58.94</v>
      </c>
      <c r="C18">
        <v>61.22</v>
      </c>
    </row>
    <row r="33" spans="1:6" x14ac:dyDescent="0.2">
      <c r="A33" t="s">
        <v>4</v>
      </c>
      <c r="B33" t="s">
        <v>5</v>
      </c>
      <c r="C33" t="s">
        <v>6</v>
      </c>
      <c r="D33" t="s">
        <v>4</v>
      </c>
      <c r="E33" t="s">
        <v>10</v>
      </c>
      <c r="F33" t="s">
        <v>11</v>
      </c>
    </row>
    <row r="34" spans="1:6" x14ac:dyDescent="0.2">
      <c r="A34">
        <f>A4-A$4</f>
        <v>0</v>
      </c>
      <c r="B34">
        <f>B4-$F$3</f>
        <v>75</v>
      </c>
      <c r="C34">
        <f>C4-$F$3</f>
        <v>75.09</v>
      </c>
      <c r="D34">
        <f>A34</f>
        <v>0</v>
      </c>
      <c r="E34">
        <f>(B4-$F$3-$F$6+$F$5*$F$6)/$F$4/$F$6*100</f>
        <v>88.888888888888886</v>
      </c>
      <c r="F34">
        <f>(C4-$F$3-$F$6+$F$5*$F$6)/$F$4/$F$6*100</f>
        <v>89.155555555555566</v>
      </c>
    </row>
    <row r="35" spans="1:6" x14ac:dyDescent="0.2">
      <c r="A35">
        <f>A5-A$4</f>
        <v>0.96666666666715173</v>
      </c>
      <c r="B35">
        <f>B5-$F$3</f>
        <v>73.61</v>
      </c>
      <c r="C35">
        <f>C5-$F$3</f>
        <v>73.78</v>
      </c>
      <c r="D35">
        <f t="shared" ref="D35:D40" si="0">A35</f>
        <v>0.96666666666715173</v>
      </c>
      <c r="E35">
        <f>(B5-$F$3-$F$6+$F$5*$F$6)/$F$4/$F$6*100</f>
        <v>84.770370370370358</v>
      </c>
      <c r="F35">
        <f>(C5-$F$3-$F$6+$F$5*$F$6)/$F$4/$F$6*100</f>
        <v>85.274074074074065</v>
      </c>
    </row>
    <row r="36" spans="1:6" x14ac:dyDescent="0.2">
      <c r="A36">
        <f>A6-A$4</f>
        <v>1.9652777777810115</v>
      </c>
      <c r="B36">
        <f>B6-$F$3</f>
        <v>72.23</v>
      </c>
      <c r="C36">
        <f>C6-$F$3</f>
        <v>72.540000000000006</v>
      </c>
      <c r="D36">
        <f t="shared" si="0"/>
        <v>1.9652777777810115</v>
      </c>
      <c r="E36">
        <f>(B6-$F$3-$F$6+$F$5*$F$6)/$F$4/$F$6*100</f>
        <v>80.681481481481484</v>
      </c>
      <c r="F36">
        <f>(C6-$F$3-$F$6+$F$5*$F$6)/$F$4/$F$6*100</f>
        <v>81.600000000000009</v>
      </c>
    </row>
    <row r="37" spans="1:6" x14ac:dyDescent="0.2">
      <c r="A37">
        <f>A7-A$4</f>
        <v>3.882638888891961</v>
      </c>
      <c r="B37">
        <f>B7-$F$3</f>
        <v>69.27000000000001</v>
      </c>
      <c r="C37">
        <f>C7-$F$3</f>
        <v>69.97</v>
      </c>
      <c r="D37">
        <f t="shared" si="0"/>
        <v>3.882638888891961</v>
      </c>
      <c r="E37">
        <f>(B7-$F$3-$F$6+$F$5*$F$6)/$F$4/$F$6*100</f>
        <v>71.91111111111114</v>
      </c>
      <c r="F37">
        <f>(C7-$F$3-$F$6+$F$5*$F$6)/$F$4/$F$6*100</f>
        <v>73.985185185185173</v>
      </c>
    </row>
    <row r="38" spans="1:6" x14ac:dyDescent="0.2">
      <c r="A38">
        <f>A8-A$4</f>
        <v>5.8409722222277196</v>
      </c>
      <c r="B38">
        <f>B8-$F$3</f>
        <v>67.06</v>
      </c>
      <c r="C38">
        <f>C8-$F$3</f>
        <v>68.06</v>
      </c>
      <c r="D38">
        <f t="shared" si="0"/>
        <v>5.8409722222277196</v>
      </c>
      <c r="E38">
        <f>(B8-$F$3-$F$6+$F$5*$F$6)/$F$4/$F$6*100</f>
        <v>65.362962962962968</v>
      </c>
      <c r="F38">
        <f>(C8-$F$3-$F$6+$F$5*$F$6)/$F$4/$F$6*100</f>
        <v>68.32592592592593</v>
      </c>
    </row>
    <row r="39" spans="1:6" x14ac:dyDescent="0.2">
      <c r="A39">
        <f>A9-A$4</f>
        <v>6.8125</v>
      </c>
      <c r="B39">
        <f>B9-$F$3</f>
        <v>65.59</v>
      </c>
      <c r="C39">
        <f>C9-$F$3</f>
        <v>66.84</v>
      </c>
      <c r="D39">
        <f t="shared" si="0"/>
        <v>6.8125</v>
      </c>
      <c r="E39">
        <f>(B9-$F$3-$F$6+$F$5*$F$6)/$F$4/$F$6*100</f>
        <v>61.007407407407413</v>
      </c>
      <c r="F39">
        <f>(C9-$F$3-$F$6+$F$5*$F$6)/$F$4/$F$6*100</f>
        <v>64.711111111111123</v>
      </c>
    </row>
    <row r="40" spans="1:6" x14ac:dyDescent="0.2">
      <c r="A40">
        <f>A10-A$4</f>
        <v>8.8145833333328483</v>
      </c>
      <c r="B40">
        <f>B10-$F$3</f>
        <v>63</v>
      </c>
      <c r="C40">
        <f>C10-$F$3</f>
        <v>64.61</v>
      </c>
      <c r="D40">
        <f t="shared" si="0"/>
        <v>8.8145833333328483</v>
      </c>
      <c r="E40">
        <f>(B10-$F$3-$F$6+$F$5*$F$6)/$F$4/$F$6*100</f>
        <v>53.333333333333336</v>
      </c>
      <c r="F40">
        <f>(C10-$F$3-$F$6+$F$5*$F$6)/$F$4/$F$6*100</f>
        <v>58.103703703703701</v>
      </c>
    </row>
    <row r="41" spans="1:6" x14ac:dyDescent="0.2">
      <c r="A41">
        <f>A11-A$4</f>
        <v>9.8041666666686069</v>
      </c>
      <c r="B41">
        <f>B11-$F$3</f>
        <v>61.480000000000004</v>
      </c>
      <c r="C41">
        <f>C11-$F$3</f>
        <v>63.25</v>
      </c>
      <c r="D41">
        <f t="shared" ref="D41:D42" si="1">A41</f>
        <v>9.8041666666686069</v>
      </c>
      <c r="E41">
        <f>(B11-$F$3-$F$6+$F$5*$F$6)/$F$4/$F$6*100</f>
        <v>48.829629629629636</v>
      </c>
      <c r="F41">
        <f>(C11-$F$3-$F$6+$F$5*$F$6)/$F$4/$F$6*100</f>
        <v>54.074074074074076</v>
      </c>
    </row>
    <row r="42" spans="1:6" x14ac:dyDescent="0.2">
      <c r="A42">
        <f>A12-A$4</f>
        <v>12.06111111111386</v>
      </c>
      <c r="B42">
        <f>B12-$F$3</f>
        <v>58.63000000000001</v>
      </c>
      <c r="C42">
        <f>C12-$F$3</f>
        <v>60.81</v>
      </c>
      <c r="D42">
        <f t="shared" si="1"/>
        <v>12.06111111111386</v>
      </c>
      <c r="E42">
        <f>(B12-$F$3-$F$6+$F$5*$F$6)/$F$4/$F$6*100</f>
        <v>40.385185185185215</v>
      </c>
      <c r="F42">
        <f>(C12-$F$3-$F$6+$F$5*$F$6)/$F$4/$F$6*100</f>
        <v>46.844444444444449</v>
      </c>
    </row>
    <row r="43" spans="1:6" x14ac:dyDescent="0.2">
      <c r="A43">
        <f>A13-A$4</f>
        <v>13.9375</v>
      </c>
      <c r="B43">
        <f>B13-$F$3</f>
        <v>55.790000000000006</v>
      </c>
      <c r="C43">
        <f>C13-$F$3</f>
        <v>58.160000000000011</v>
      </c>
      <c r="D43">
        <f t="shared" ref="D43:D46" si="2">A43</f>
        <v>13.9375</v>
      </c>
      <c r="E43">
        <f>(B13-$F$3-$F$6+$F$5*$F$6)/$F$4/$F$6*100</f>
        <v>31.970370370370389</v>
      </c>
      <c r="F43">
        <f>(C13-$F$3-$F$6+$F$5*$F$6)/$F$4/$F$6*100</f>
        <v>38.992592592592622</v>
      </c>
    </row>
    <row r="44" spans="1:6" x14ac:dyDescent="0.2">
      <c r="A44">
        <f>A14-A$4</f>
        <v>14.847222222226264</v>
      </c>
      <c r="B44">
        <f>B14-$F$3</f>
        <v>54.379999999999995</v>
      </c>
      <c r="C44">
        <f>C14-$F$3</f>
        <v>56.879999999999995</v>
      </c>
      <c r="D44">
        <f t="shared" si="2"/>
        <v>14.847222222226264</v>
      </c>
      <c r="E44">
        <f>(B14-$F$3-$F$6+$F$5*$F$6)/$F$4/$F$6*100</f>
        <v>27.792592592592573</v>
      </c>
      <c r="F44">
        <f>(C14-$F$3-$F$6+$F$5*$F$6)/$F$4/$F$6*100</f>
        <v>35.199999999999982</v>
      </c>
    </row>
    <row r="45" spans="1:6" x14ac:dyDescent="0.2">
      <c r="A45">
        <f>A15-A$4</f>
        <v>16.972916666665697</v>
      </c>
      <c r="B45">
        <f>B15-$F$3</f>
        <v>53.64</v>
      </c>
      <c r="C45">
        <f>C15-$F$3</f>
        <v>56.099999999999994</v>
      </c>
      <c r="D45">
        <f t="shared" si="2"/>
        <v>16.972916666665697</v>
      </c>
      <c r="E45">
        <f>(B15-$F$3-$F$6+$F$5*$F$6)/$F$4/$F$6*100</f>
        <v>25.6</v>
      </c>
      <c r="F45">
        <f>(C15-$F$3-$F$6+$F$5*$F$6)/$F$4/$F$6*100</f>
        <v>32.888888888888872</v>
      </c>
    </row>
    <row r="46" spans="1:6" x14ac:dyDescent="0.2">
      <c r="A46">
        <f>A16-A$4</f>
        <v>18.757638888891961</v>
      </c>
      <c r="B46">
        <f>B16-$F$3</f>
        <v>53.269999999999996</v>
      </c>
      <c r="C46">
        <f>C16-$F$3</f>
        <v>55.66</v>
      </c>
      <c r="D46">
        <f t="shared" si="2"/>
        <v>18.757638888891961</v>
      </c>
      <c r="E46">
        <f>(B16-$F$3-$F$6+$F$5*$F$6)/$F$4/$F$6*100</f>
        <v>24.503703703703689</v>
      </c>
      <c r="F46">
        <f>(C16-$F$3-$F$6+$F$5*$F$6)/$F$4/$F$6*100</f>
        <v>31.585185185185171</v>
      </c>
    </row>
    <row r="47" spans="1:6" x14ac:dyDescent="0.2">
      <c r="A47">
        <f>A17-A$4</f>
        <v>21.167361111110949</v>
      </c>
      <c r="B47">
        <f>B17-$F$3</f>
        <v>52.790000000000006</v>
      </c>
      <c r="C47">
        <f>C17-$F$3</f>
        <v>55.150000000000006</v>
      </c>
      <c r="D47">
        <f t="shared" ref="D47" si="3">A47</f>
        <v>21.167361111110949</v>
      </c>
      <c r="E47">
        <f>(B17-$F$3-$F$6+$F$5*$F$6)/$F$4/$F$6*100</f>
        <v>23.0814814814815</v>
      </c>
      <c r="F47">
        <f>(C17-$F$3-$F$6+$F$5*$F$6)/$F$4/$F$6*100</f>
        <v>30.07407407407409</v>
      </c>
    </row>
    <row r="48" spans="1:6" x14ac:dyDescent="0.2">
      <c r="A48">
        <f t="shared" ref="A48:A50" si="4">A18-A$4</f>
        <v>22.960416666668607</v>
      </c>
      <c r="B48">
        <f t="shared" ref="B48:C48" si="5">B18-$F$3</f>
        <v>52.42</v>
      </c>
      <c r="C48">
        <f t="shared" si="5"/>
        <v>54.7</v>
      </c>
      <c r="D48">
        <f t="shared" ref="D48:D50" si="6">A48</f>
        <v>22.960416666668607</v>
      </c>
      <c r="E48">
        <f t="shared" ref="E48:F48" si="7">(B18-$F$3-$F$6+$F$5*$F$6)/$F$4/$F$6*100</f>
        <v>21.985185185185188</v>
      </c>
      <c r="F48">
        <f t="shared" si="7"/>
        <v>28.740740740740751</v>
      </c>
    </row>
    <row r="49" spans="1:6" x14ac:dyDescent="0.2">
      <c r="A49">
        <f t="shared" si="4"/>
        <v>-45880.613194444442</v>
      </c>
      <c r="B49">
        <f t="shared" ref="B49:C49" si="8">B19-$F$3</f>
        <v>-6.52</v>
      </c>
      <c r="C49">
        <f t="shared" si="8"/>
        <v>-6.52</v>
      </c>
      <c r="D49">
        <f t="shared" si="6"/>
        <v>-45880.613194444442</v>
      </c>
      <c r="E49">
        <f t="shared" ref="E49:F49" si="9">(B19-$F$3-$F$6+$F$5*$F$6)/$F$4/$F$6*100</f>
        <v>-152.65185185185183</v>
      </c>
      <c r="F49">
        <f t="shared" si="9"/>
        <v>-152.65185185185183</v>
      </c>
    </row>
    <row r="50" spans="1:6" x14ac:dyDescent="0.2">
      <c r="A50">
        <f t="shared" si="4"/>
        <v>-45880.613194444442</v>
      </c>
      <c r="B50">
        <f t="shared" ref="B50:C50" si="10">B20-$F$3</f>
        <v>-6.52</v>
      </c>
      <c r="C50">
        <f t="shared" si="10"/>
        <v>-6.52</v>
      </c>
      <c r="D50">
        <f t="shared" si="6"/>
        <v>-45880.613194444442</v>
      </c>
      <c r="E50">
        <f t="shared" ref="E50:F50" si="11">(B20-$F$3-$F$6+$F$5*$F$6)/$F$4/$F$6*100</f>
        <v>-152.65185185185183</v>
      </c>
      <c r="F50">
        <f t="shared" si="11"/>
        <v>-152.65185185185183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894F-B919-9242-9791-6C2B79EC04F5}">
  <dimension ref="A1:W24"/>
  <sheetViews>
    <sheetView tabSelected="1" topLeftCell="A3" zoomScale="183" workbookViewId="0">
      <selection activeCell="W15" sqref="W15"/>
    </sheetView>
  </sheetViews>
  <sheetFormatPr baseColWidth="10" defaultRowHeight="16" x14ac:dyDescent="0.2"/>
  <cols>
    <col min="1" max="1" width="20.1640625" customWidth="1"/>
    <col min="13" max="13" width="22.33203125" customWidth="1"/>
  </cols>
  <sheetData>
    <row r="1" spans="1:23" x14ac:dyDescent="0.2">
      <c r="A1" t="s">
        <v>25</v>
      </c>
    </row>
    <row r="3" spans="1:2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2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</row>
    <row r="6" spans="1:2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  <c r="G6">
        <v>6.52</v>
      </c>
      <c r="H6">
        <v>6.51</v>
      </c>
      <c r="I6">
        <v>6.57</v>
      </c>
      <c r="J6">
        <v>6.56</v>
      </c>
      <c r="K6">
        <v>6.52</v>
      </c>
    </row>
    <row r="9" spans="1:23" x14ac:dyDescent="0.2">
      <c r="B9" s="5" t="s">
        <v>30</v>
      </c>
      <c r="C9" s="5"/>
      <c r="D9" s="5"/>
      <c r="E9" s="5"/>
      <c r="F9" s="5"/>
      <c r="G9" s="5"/>
      <c r="H9" s="5"/>
      <c r="I9" s="5"/>
      <c r="J9" s="5"/>
      <c r="K9" s="5"/>
      <c r="N9" s="5" t="s">
        <v>32</v>
      </c>
      <c r="O9" s="5"/>
      <c r="P9" s="5"/>
      <c r="Q9" s="5"/>
      <c r="R9" s="5"/>
      <c r="S9" s="5"/>
      <c r="T9" s="5"/>
      <c r="U9" s="5"/>
      <c r="V9" s="5"/>
      <c r="W9" s="5"/>
    </row>
    <row r="10" spans="1:2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G10" t="s">
        <v>20</v>
      </c>
      <c r="H10" t="s">
        <v>21</v>
      </c>
      <c r="I10" t="s">
        <v>22</v>
      </c>
      <c r="J10" t="s">
        <v>23</v>
      </c>
      <c r="K10" t="s">
        <v>24</v>
      </c>
      <c r="M10" t="s">
        <v>31</v>
      </c>
      <c r="N10" t="s">
        <v>15</v>
      </c>
      <c r="O10" t="s">
        <v>16</v>
      </c>
      <c r="P10" t="s">
        <v>17</v>
      </c>
      <c r="Q10" t="s">
        <v>18</v>
      </c>
      <c r="R10" t="s">
        <v>19</v>
      </c>
      <c r="S10" t="s">
        <v>20</v>
      </c>
      <c r="T10" t="s">
        <v>21</v>
      </c>
      <c r="U10" t="s">
        <v>22</v>
      </c>
      <c r="V10" t="s">
        <v>23</v>
      </c>
      <c r="W10" t="s">
        <v>24</v>
      </c>
    </row>
    <row r="11" spans="1:23" x14ac:dyDescent="0.2">
      <c r="A11" s="2">
        <v>45895.609722222223</v>
      </c>
      <c r="B11">
        <f>90.5+B6</f>
        <v>97.05</v>
      </c>
      <c r="C11">
        <f>90.5+C6</f>
        <v>97.08</v>
      </c>
      <c r="D11">
        <f>90.5+D6</f>
        <v>97.02</v>
      </c>
      <c r="E11">
        <f>90.5+E6</f>
        <v>97.06</v>
      </c>
      <c r="F11">
        <f>90.5+F6</f>
        <v>97.03</v>
      </c>
      <c r="G11">
        <f>90.5+G6</f>
        <v>97.02</v>
      </c>
      <c r="H11">
        <f>90.5+H6</f>
        <v>97.01</v>
      </c>
      <c r="I11">
        <f>90.5+I6</f>
        <v>97.07</v>
      </c>
      <c r="J11">
        <f>90.5+J6</f>
        <v>97.06</v>
      </c>
      <c r="K11">
        <f>90.5+K6</f>
        <v>97.02</v>
      </c>
      <c r="M11">
        <f>A11-$A$11</f>
        <v>0</v>
      </c>
      <c r="N11">
        <f>(B11-B$6-50)/$C$3/50*100</f>
        <v>120</v>
      </c>
      <c r="O11">
        <f t="shared" ref="O11:W11" si="0">(C11-C$6-50)/$C$3/50*100</f>
        <v>120</v>
      </c>
      <c r="P11">
        <f t="shared" si="0"/>
        <v>120</v>
      </c>
      <c r="Q11">
        <f t="shared" si="0"/>
        <v>120</v>
      </c>
      <c r="R11">
        <f t="shared" si="0"/>
        <v>120</v>
      </c>
      <c r="S11">
        <f t="shared" si="0"/>
        <v>120</v>
      </c>
      <c r="T11">
        <f t="shared" si="0"/>
        <v>120</v>
      </c>
      <c r="U11">
        <f t="shared" si="0"/>
        <v>120</v>
      </c>
      <c r="V11">
        <f t="shared" si="0"/>
        <v>120</v>
      </c>
      <c r="W11">
        <f t="shared" si="0"/>
        <v>120</v>
      </c>
    </row>
    <row r="12" spans="1:23" x14ac:dyDescent="0.2">
      <c r="A12" s="2">
        <v>45897.586111111108</v>
      </c>
      <c r="B12">
        <v>95.92</v>
      </c>
      <c r="C12">
        <v>96</v>
      </c>
      <c r="D12">
        <v>95.82</v>
      </c>
      <c r="E12">
        <v>96</v>
      </c>
      <c r="F12">
        <v>95.6</v>
      </c>
      <c r="G12">
        <v>95.63</v>
      </c>
      <c r="H12">
        <v>95.17</v>
      </c>
      <c r="I12">
        <v>95.41</v>
      </c>
      <c r="J12">
        <v>93.52</v>
      </c>
      <c r="K12">
        <v>94.42</v>
      </c>
      <c r="M12">
        <f t="shared" ref="M12:M15" si="1">A12-$A$11</f>
        <v>1.976388888884685</v>
      </c>
      <c r="N12">
        <f t="shared" ref="N12:N15" si="2">(B12-B$6-50)/$C$3/50*100</f>
        <v>116.65185185185184</v>
      </c>
      <c r="O12">
        <f t="shared" ref="O12:O15" si="3">(C12-C$6-50)/$C$3/50*100</f>
        <v>116.8</v>
      </c>
      <c r="P12">
        <f t="shared" ref="P12:P15" si="4">(D12-D$6-50)/$C$3/50*100</f>
        <v>116.44444444444444</v>
      </c>
      <c r="Q12">
        <f t="shared" ref="Q12:Q15" si="5">(E12-E$6-50)/$C$3/50*100</f>
        <v>116.85925925925925</v>
      </c>
      <c r="R12">
        <f t="shared" ref="R12:R15" si="6">(F12-F$6-50)/$C$3/50*100</f>
        <v>115.76296296296293</v>
      </c>
      <c r="S12">
        <f t="shared" ref="S12:S15" si="7">(G12-G$6-50)/$C$3/50*100</f>
        <v>115.88148148148147</v>
      </c>
      <c r="T12">
        <f t="shared" ref="T12:T15" si="8">(H12-H$6-50)/$C$3/50*100</f>
        <v>114.54814814814813</v>
      </c>
      <c r="U12">
        <f t="shared" ref="U12:U15" si="9">(I12-I$6-50)/$C$3/50*100</f>
        <v>115.08148148148149</v>
      </c>
      <c r="V12">
        <f t="shared" ref="V12:V15" si="10">(J12-J$6-50)/$C$3/50*100</f>
        <v>109.51111111111109</v>
      </c>
      <c r="W12">
        <f t="shared" ref="W12:W15" si="11">(K12-K$6-50)/$C$3/50*100</f>
        <v>112.29629629629629</v>
      </c>
    </row>
    <row r="13" spans="1:23" x14ac:dyDescent="0.2">
      <c r="A13" s="2">
        <v>45899.370833333334</v>
      </c>
      <c r="B13">
        <v>95.38</v>
      </c>
      <c r="C13">
        <v>95.49</v>
      </c>
      <c r="D13">
        <v>95.2</v>
      </c>
      <c r="E13">
        <v>95.46</v>
      </c>
      <c r="F13">
        <v>94.82</v>
      </c>
      <c r="G13">
        <v>95</v>
      </c>
      <c r="H13">
        <v>94</v>
      </c>
      <c r="I13">
        <v>94.52</v>
      </c>
      <c r="J13">
        <v>90.68</v>
      </c>
      <c r="K13">
        <v>92.4</v>
      </c>
      <c r="M13">
        <f t="shared" si="1"/>
        <v>3.7611111111109494</v>
      </c>
      <c r="N13">
        <f t="shared" si="2"/>
        <v>115.05185185185182</v>
      </c>
      <c r="O13">
        <f t="shared" si="3"/>
        <v>115.28888888888889</v>
      </c>
      <c r="P13">
        <f t="shared" si="4"/>
        <v>114.60740740740742</v>
      </c>
      <c r="Q13">
        <f t="shared" si="5"/>
        <v>115.25925925925921</v>
      </c>
      <c r="R13">
        <f t="shared" si="6"/>
        <v>113.45185185185183</v>
      </c>
      <c r="S13">
        <f t="shared" si="7"/>
        <v>114.01481481481481</v>
      </c>
      <c r="T13">
        <f t="shared" si="8"/>
        <v>111.08148148148148</v>
      </c>
      <c r="U13">
        <f t="shared" si="9"/>
        <v>112.44444444444439</v>
      </c>
      <c r="V13">
        <f t="shared" si="10"/>
        <v>101.0962962962963</v>
      </c>
      <c r="W13">
        <f t="shared" si="11"/>
        <v>106.31111111111113</v>
      </c>
    </row>
    <row r="14" spans="1:23" x14ac:dyDescent="0.2">
      <c r="A14" s="2">
        <v>45901.780555555553</v>
      </c>
      <c r="B14">
        <v>94.7</v>
      </c>
      <c r="C14">
        <v>94.51</v>
      </c>
      <c r="D14">
        <v>94.47</v>
      </c>
      <c r="E14">
        <v>94.82</v>
      </c>
      <c r="F14">
        <v>93.85</v>
      </c>
      <c r="G14">
        <v>94.21</v>
      </c>
      <c r="H14">
        <v>92.59</v>
      </c>
      <c r="I14">
        <v>93.45</v>
      </c>
      <c r="J14">
        <v>87.4</v>
      </c>
      <c r="K14">
        <v>90</v>
      </c>
      <c r="M14">
        <f t="shared" si="1"/>
        <v>6.1708333333299379</v>
      </c>
      <c r="N14">
        <f t="shared" si="2"/>
        <v>113.03703703703705</v>
      </c>
      <c r="O14">
        <f t="shared" si="3"/>
        <v>112.38518518518519</v>
      </c>
      <c r="P14">
        <f t="shared" si="4"/>
        <v>112.44444444444443</v>
      </c>
      <c r="Q14">
        <f t="shared" si="5"/>
        <v>113.36296296296294</v>
      </c>
      <c r="R14">
        <f t="shared" si="6"/>
        <v>110.57777777777775</v>
      </c>
      <c r="S14">
        <f t="shared" si="7"/>
        <v>111.67407407407406</v>
      </c>
      <c r="T14">
        <f t="shared" si="8"/>
        <v>106.9037037037037</v>
      </c>
      <c r="U14">
        <f t="shared" si="9"/>
        <v>109.27407407407405</v>
      </c>
      <c r="V14">
        <f t="shared" si="10"/>
        <v>91.37777777777778</v>
      </c>
      <c r="W14">
        <f t="shared" si="11"/>
        <v>99.2</v>
      </c>
    </row>
    <row r="15" spans="1:23" x14ac:dyDescent="0.2">
      <c r="A15" s="2">
        <v>45903.573611111111</v>
      </c>
      <c r="B15">
        <v>94.12</v>
      </c>
      <c r="C15">
        <v>94.04</v>
      </c>
      <c r="D15">
        <v>93.85</v>
      </c>
      <c r="E15">
        <v>94.32</v>
      </c>
      <c r="F15">
        <v>93</v>
      </c>
      <c r="G15">
        <v>93.58</v>
      </c>
      <c r="H15">
        <v>91.24</v>
      </c>
      <c r="I15">
        <v>92.05</v>
      </c>
      <c r="J15">
        <v>84.13</v>
      </c>
      <c r="K15">
        <v>87.49</v>
      </c>
      <c r="M15">
        <f t="shared" si="1"/>
        <v>7.9638888888875954</v>
      </c>
      <c r="N15">
        <f t="shared" si="2"/>
        <v>111.31851851851853</v>
      </c>
      <c r="O15">
        <f t="shared" si="3"/>
        <v>110.99259259259262</v>
      </c>
      <c r="P15">
        <f t="shared" si="4"/>
        <v>110.60740740740739</v>
      </c>
      <c r="Q15">
        <f t="shared" si="5"/>
        <v>111.88148148148144</v>
      </c>
      <c r="R15">
        <f t="shared" si="6"/>
        <v>108.05925925925925</v>
      </c>
      <c r="S15">
        <f t="shared" si="7"/>
        <v>109.80740740740742</v>
      </c>
      <c r="T15">
        <f t="shared" si="8"/>
        <v>102.90370370370367</v>
      </c>
      <c r="U15">
        <f t="shared" si="9"/>
        <v>105.12592592592588</v>
      </c>
      <c r="V15">
        <f t="shared" si="10"/>
        <v>81.688888888888869</v>
      </c>
      <c r="W15">
        <f t="shared" si="11"/>
        <v>91.762962962962959</v>
      </c>
    </row>
    <row r="16" spans="1:23" x14ac:dyDescent="0.2">
      <c r="M16">
        <f t="shared" ref="M16:M24" si="12">A16-$A$11</f>
        <v>-45895.609722222223</v>
      </c>
      <c r="N16">
        <f t="shared" ref="N16:N24" si="13">(B16-B$6-50)/$C$3/50*100</f>
        <v>-167.55555555555554</v>
      </c>
      <c r="O16">
        <f t="shared" ref="O16:O24" si="14">(C16-C$6-50)/$C$3/50*100</f>
        <v>-167.64444444444442</v>
      </c>
      <c r="P16">
        <f t="shared" ref="P16:P24" si="15">(D16-D$6-50)/$C$3/50*100</f>
        <v>-167.46666666666664</v>
      </c>
      <c r="Q16">
        <f t="shared" ref="Q16:Q24" si="16">(E16-E$6-50)/$C$3/50*100</f>
        <v>-167.58518518518517</v>
      </c>
      <c r="R16">
        <f t="shared" ref="R16:R24" si="17">(F16-F$6-50)/$C$3/50*100</f>
        <v>-167.49629629629629</v>
      </c>
      <c r="S16">
        <f t="shared" ref="S16:S24" si="18">(G16-G$6-50)/$C$3/50*100</f>
        <v>-167.46666666666664</v>
      </c>
      <c r="T16">
        <f t="shared" ref="T16:T24" si="19">(H16-H$6-50)/$C$3/50*100</f>
        <v>-167.43703703703702</v>
      </c>
      <c r="U16">
        <f t="shared" ref="U16:U24" si="20">(I16-I$6-50)/$C$3/50*100</f>
        <v>-167.61481481481479</v>
      </c>
      <c r="V16">
        <f t="shared" ref="V16:V24" si="21">(J16-J$6-50)/$C$3/50*100</f>
        <v>-167.58518518518517</v>
      </c>
      <c r="W16">
        <f t="shared" ref="W16:W24" si="22">(K16-K$6-50)/$C$3/50*100</f>
        <v>-167.46666666666664</v>
      </c>
    </row>
    <row r="17" spans="13:23" x14ac:dyDescent="0.2">
      <c r="M17">
        <f t="shared" si="12"/>
        <v>-45895.609722222223</v>
      </c>
      <c r="N17">
        <f t="shared" si="13"/>
        <v>-167.55555555555554</v>
      </c>
      <c r="O17">
        <f t="shared" si="14"/>
        <v>-167.64444444444442</v>
      </c>
      <c r="P17">
        <f t="shared" si="15"/>
        <v>-167.46666666666664</v>
      </c>
      <c r="Q17">
        <f t="shared" si="16"/>
        <v>-167.58518518518517</v>
      </c>
      <c r="R17">
        <f t="shared" si="17"/>
        <v>-167.49629629629629</v>
      </c>
      <c r="S17">
        <f t="shared" si="18"/>
        <v>-167.46666666666664</v>
      </c>
      <c r="T17">
        <f t="shared" si="19"/>
        <v>-167.43703703703702</v>
      </c>
      <c r="U17">
        <f t="shared" si="20"/>
        <v>-167.61481481481479</v>
      </c>
      <c r="V17">
        <f t="shared" si="21"/>
        <v>-167.58518518518517</v>
      </c>
      <c r="W17">
        <f t="shared" si="22"/>
        <v>-167.46666666666664</v>
      </c>
    </row>
    <row r="18" spans="13:23" x14ac:dyDescent="0.2">
      <c r="M18">
        <f t="shared" si="12"/>
        <v>-45895.609722222223</v>
      </c>
      <c r="N18">
        <f t="shared" si="13"/>
        <v>-167.55555555555554</v>
      </c>
      <c r="O18">
        <f t="shared" si="14"/>
        <v>-167.64444444444442</v>
      </c>
      <c r="P18">
        <f t="shared" si="15"/>
        <v>-167.46666666666664</v>
      </c>
      <c r="Q18">
        <f t="shared" si="16"/>
        <v>-167.58518518518517</v>
      </c>
      <c r="R18">
        <f t="shared" si="17"/>
        <v>-167.49629629629629</v>
      </c>
      <c r="S18">
        <f t="shared" si="18"/>
        <v>-167.46666666666664</v>
      </c>
      <c r="T18">
        <f t="shared" si="19"/>
        <v>-167.43703703703702</v>
      </c>
      <c r="U18">
        <f t="shared" si="20"/>
        <v>-167.61481481481479</v>
      </c>
      <c r="V18">
        <f t="shared" si="21"/>
        <v>-167.58518518518517</v>
      </c>
      <c r="W18">
        <f t="shared" si="22"/>
        <v>-167.46666666666664</v>
      </c>
    </row>
    <row r="19" spans="13:23" x14ac:dyDescent="0.2">
      <c r="M19">
        <f t="shared" si="12"/>
        <v>-45895.609722222223</v>
      </c>
      <c r="N19">
        <f t="shared" si="13"/>
        <v>-167.55555555555554</v>
      </c>
      <c r="O19">
        <f t="shared" si="14"/>
        <v>-167.64444444444442</v>
      </c>
      <c r="P19">
        <f t="shared" si="15"/>
        <v>-167.46666666666664</v>
      </c>
      <c r="Q19">
        <f t="shared" si="16"/>
        <v>-167.58518518518517</v>
      </c>
      <c r="R19">
        <f t="shared" si="17"/>
        <v>-167.49629629629629</v>
      </c>
      <c r="S19">
        <f t="shared" si="18"/>
        <v>-167.46666666666664</v>
      </c>
      <c r="T19">
        <f t="shared" si="19"/>
        <v>-167.43703703703702</v>
      </c>
      <c r="U19">
        <f t="shared" si="20"/>
        <v>-167.61481481481479</v>
      </c>
      <c r="V19">
        <f t="shared" si="21"/>
        <v>-167.58518518518517</v>
      </c>
      <c r="W19">
        <f t="shared" si="22"/>
        <v>-167.46666666666664</v>
      </c>
    </row>
    <row r="20" spans="13:23" x14ac:dyDescent="0.2">
      <c r="M20">
        <f t="shared" si="12"/>
        <v>-45895.609722222223</v>
      </c>
      <c r="N20">
        <f t="shared" si="13"/>
        <v>-167.55555555555554</v>
      </c>
      <c r="O20">
        <f t="shared" si="14"/>
        <v>-167.64444444444442</v>
      </c>
      <c r="P20">
        <f t="shared" si="15"/>
        <v>-167.46666666666664</v>
      </c>
      <c r="Q20">
        <f t="shared" si="16"/>
        <v>-167.58518518518517</v>
      </c>
      <c r="R20">
        <f t="shared" si="17"/>
        <v>-167.49629629629629</v>
      </c>
      <c r="S20">
        <f t="shared" si="18"/>
        <v>-167.46666666666664</v>
      </c>
      <c r="T20">
        <f t="shared" si="19"/>
        <v>-167.43703703703702</v>
      </c>
      <c r="U20">
        <f t="shared" si="20"/>
        <v>-167.61481481481479</v>
      </c>
      <c r="V20">
        <f t="shared" si="21"/>
        <v>-167.58518518518517</v>
      </c>
      <c r="W20">
        <f t="shared" si="22"/>
        <v>-167.46666666666664</v>
      </c>
    </row>
    <row r="21" spans="13:23" x14ac:dyDescent="0.2">
      <c r="M21">
        <f t="shared" si="12"/>
        <v>-45895.609722222223</v>
      </c>
      <c r="N21">
        <f t="shared" si="13"/>
        <v>-167.55555555555554</v>
      </c>
      <c r="O21">
        <f t="shared" si="14"/>
        <v>-167.64444444444442</v>
      </c>
      <c r="P21">
        <f t="shared" si="15"/>
        <v>-167.46666666666664</v>
      </c>
      <c r="Q21">
        <f t="shared" si="16"/>
        <v>-167.58518518518517</v>
      </c>
      <c r="R21">
        <f t="shared" si="17"/>
        <v>-167.49629629629629</v>
      </c>
      <c r="S21">
        <f t="shared" si="18"/>
        <v>-167.46666666666664</v>
      </c>
      <c r="T21">
        <f t="shared" si="19"/>
        <v>-167.43703703703702</v>
      </c>
      <c r="U21">
        <f t="shared" si="20"/>
        <v>-167.61481481481479</v>
      </c>
      <c r="V21">
        <f t="shared" si="21"/>
        <v>-167.58518518518517</v>
      </c>
      <c r="W21">
        <f t="shared" si="22"/>
        <v>-167.46666666666664</v>
      </c>
    </row>
    <row r="22" spans="13:23" x14ac:dyDescent="0.2">
      <c r="M22">
        <f t="shared" si="12"/>
        <v>-45895.609722222223</v>
      </c>
      <c r="N22">
        <f t="shared" si="13"/>
        <v>-167.55555555555554</v>
      </c>
      <c r="O22">
        <f t="shared" si="14"/>
        <v>-167.64444444444442</v>
      </c>
      <c r="P22">
        <f t="shared" si="15"/>
        <v>-167.46666666666664</v>
      </c>
      <c r="Q22">
        <f t="shared" si="16"/>
        <v>-167.58518518518517</v>
      </c>
      <c r="R22">
        <f t="shared" si="17"/>
        <v>-167.49629629629629</v>
      </c>
      <c r="S22">
        <f t="shared" si="18"/>
        <v>-167.46666666666664</v>
      </c>
      <c r="T22">
        <f t="shared" si="19"/>
        <v>-167.43703703703702</v>
      </c>
      <c r="U22">
        <f t="shared" si="20"/>
        <v>-167.61481481481479</v>
      </c>
      <c r="V22">
        <f t="shared" si="21"/>
        <v>-167.58518518518517</v>
      </c>
      <c r="W22">
        <f t="shared" si="22"/>
        <v>-167.46666666666664</v>
      </c>
    </row>
    <row r="23" spans="13:23" x14ac:dyDescent="0.2">
      <c r="M23">
        <f t="shared" si="12"/>
        <v>-45895.609722222223</v>
      </c>
      <c r="N23">
        <f t="shared" si="13"/>
        <v>-167.55555555555554</v>
      </c>
      <c r="O23">
        <f t="shared" si="14"/>
        <v>-167.64444444444442</v>
      </c>
      <c r="P23">
        <f t="shared" si="15"/>
        <v>-167.46666666666664</v>
      </c>
      <c r="Q23">
        <f t="shared" si="16"/>
        <v>-167.58518518518517</v>
      </c>
      <c r="R23">
        <f t="shared" si="17"/>
        <v>-167.49629629629629</v>
      </c>
      <c r="S23">
        <f t="shared" si="18"/>
        <v>-167.46666666666664</v>
      </c>
      <c r="T23">
        <f t="shared" si="19"/>
        <v>-167.43703703703702</v>
      </c>
      <c r="U23">
        <f t="shared" si="20"/>
        <v>-167.61481481481479</v>
      </c>
      <c r="V23">
        <f t="shared" si="21"/>
        <v>-167.58518518518517</v>
      </c>
      <c r="W23">
        <f t="shared" si="22"/>
        <v>-167.46666666666664</v>
      </c>
    </row>
    <row r="24" spans="13:23" x14ac:dyDescent="0.2">
      <c r="M24">
        <f t="shared" si="12"/>
        <v>-45895.609722222223</v>
      </c>
      <c r="N24">
        <f t="shared" si="13"/>
        <v>-167.55555555555554</v>
      </c>
      <c r="O24">
        <f t="shared" si="14"/>
        <v>-167.64444444444442</v>
      </c>
      <c r="P24">
        <f t="shared" si="15"/>
        <v>-167.46666666666664</v>
      </c>
      <c r="Q24">
        <f t="shared" si="16"/>
        <v>-167.58518518518517</v>
      </c>
      <c r="R24">
        <f t="shared" si="17"/>
        <v>-167.49629629629629</v>
      </c>
      <c r="S24">
        <f t="shared" si="18"/>
        <v>-167.46666666666664</v>
      </c>
      <c r="T24">
        <f t="shared" si="19"/>
        <v>-167.43703703703702</v>
      </c>
      <c r="U24">
        <f t="shared" si="20"/>
        <v>-167.61481481481479</v>
      </c>
      <c r="V24">
        <f t="shared" si="21"/>
        <v>-167.58518518518517</v>
      </c>
      <c r="W24">
        <f t="shared" si="22"/>
        <v>-167.46666666666664</v>
      </c>
    </row>
  </sheetData>
  <mergeCells count="2">
    <mergeCell ref="B9:K9"/>
    <mergeCell ref="N9:W9"/>
  </mergeCells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4.1.1</vt:lpstr>
      <vt:lpstr>4.1.2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2025-09-04T02:41:54Z</dcterms:modified>
</cp:coreProperties>
</file>